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siagri365.sharepoint.com/sites/CloverCRM-Projetos/Documentos Compartilhados/Clover - OFERTAS/Clover Máquinas/"/>
    </mc:Choice>
  </mc:AlternateContent>
  <xr:revisionPtr revIDLastSave="165" documentId="11_A45810EF104D1397A8A72A7BFAD3D16D96E8B131" xr6:coauthVersionLast="47" xr6:coauthVersionMax="47" xr10:uidLastSave="{25E471FB-04A6-4AFE-AAD5-B4272FEFEE3B}"/>
  <bookViews>
    <workbookView xWindow="-120" yWindow="-120" windowWidth="29040" windowHeight="15720" tabRatio="500" firstSheet="1" activeTab="9" xr2:uid="{00000000-000D-0000-FFFF-FFFF00000000}"/>
  </bookViews>
  <sheets>
    <sheet name="Resumo" sheetId="1" r:id="rId1"/>
    <sheet name="Funcionalidades" sheetId="2" r:id="rId2"/>
    <sheet name="Cálculo do AFV (configuração)" sheetId="3" state="hidden" r:id="rId3"/>
    <sheet name="Aliare Integra Solution" sheetId="4" r:id="rId4"/>
    <sheet name="Aliare Integra ERP Terceiro" sheetId="5" r:id="rId5"/>
    <sheet name="Valor" sheetId="6" r:id="rId6"/>
    <sheet name="AGBCLOVER-Listagem dos fluxos" sheetId="7" r:id="rId7"/>
    <sheet name="AGBCLOVER-Variáveis Al. Integra" sheetId="8" r:id="rId8"/>
    <sheet name="SIMERCLOVER-Listagem dos fluxos" sheetId="9" r:id="rId9"/>
    <sheet name="SIMERCLOV-Variáveis Al. Integra" sheetId="10" r:id="rId10"/>
  </sheets>
  <definedNames>
    <definedName name="_xlnm._FilterDatabase" localSheetId="4" hidden="1">'Aliare Integra ERP Terceiro'!$A$1:$AD$112</definedName>
    <definedName name="_xlnm._FilterDatabase" localSheetId="3" hidden="1">'Aliare Integra Solution'!$A$1:$AD$112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7" l="1"/>
  <c r="G13" i="7" s="1"/>
  <c r="F12" i="7"/>
  <c r="G12" i="7" s="1"/>
  <c r="D3" i="6"/>
  <c r="G112" i="5"/>
  <c r="F112" i="5"/>
  <c r="E112" i="5"/>
  <c r="D112" i="5"/>
  <c r="B119" i="5" s="1"/>
  <c r="Z111" i="5"/>
  <c r="H111" i="5"/>
  <c r="Z110" i="5"/>
  <c r="H110" i="5"/>
  <c r="Z109" i="5"/>
  <c r="H109" i="5"/>
  <c r="Z108" i="5"/>
  <c r="H108" i="5"/>
  <c r="Z107" i="5"/>
  <c r="H107" i="5"/>
  <c r="Z106" i="5"/>
  <c r="H106" i="5"/>
  <c r="Z105" i="5"/>
  <c r="H105" i="5"/>
  <c r="Z104" i="5"/>
  <c r="H104" i="5"/>
  <c r="Z103" i="5"/>
  <c r="H103" i="5"/>
  <c r="Z102" i="5"/>
  <c r="H102" i="5"/>
  <c r="Z101" i="5"/>
  <c r="H101" i="5"/>
  <c r="Z100" i="5"/>
  <c r="H100" i="5"/>
  <c r="Z99" i="5"/>
  <c r="H99" i="5"/>
  <c r="Z98" i="5"/>
  <c r="H98" i="5"/>
  <c r="Z97" i="5"/>
  <c r="H97" i="5"/>
  <c r="Z96" i="5"/>
  <c r="H96" i="5"/>
  <c r="Z95" i="5"/>
  <c r="H95" i="5"/>
  <c r="Z94" i="5"/>
  <c r="H94" i="5"/>
  <c r="Z93" i="5"/>
  <c r="H93" i="5"/>
  <c r="Z92" i="5"/>
  <c r="H92" i="5"/>
  <c r="Z91" i="5"/>
  <c r="H91" i="5"/>
  <c r="Z90" i="5"/>
  <c r="H90" i="5"/>
  <c r="Z89" i="5"/>
  <c r="H89" i="5"/>
  <c r="Z88" i="5"/>
  <c r="H88" i="5"/>
  <c r="Z87" i="5"/>
  <c r="H87" i="5"/>
  <c r="Z86" i="5"/>
  <c r="H86" i="5"/>
  <c r="Z85" i="5"/>
  <c r="H85" i="5"/>
  <c r="Z84" i="5"/>
  <c r="H84" i="5"/>
  <c r="Z83" i="5"/>
  <c r="H83" i="5"/>
  <c r="Z82" i="5"/>
  <c r="H82" i="5"/>
  <c r="Z81" i="5"/>
  <c r="H81" i="5"/>
  <c r="Z80" i="5"/>
  <c r="H80" i="5"/>
  <c r="Z79" i="5"/>
  <c r="H79" i="5"/>
  <c r="Z78" i="5"/>
  <c r="H78" i="5"/>
  <c r="Z77" i="5"/>
  <c r="H77" i="5"/>
  <c r="Z76" i="5"/>
  <c r="H76" i="5"/>
  <c r="Z75" i="5"/>
  <c r="H75" i="5"/>
  <c r="Z74" i="5"/>
  <c r="H74" i="5"/>
  <c r="Z73" i="5"/>
  <c r="H73" i="5"/>
  <c r="Z72" i="5"/>
  <c r="H72" i="5"/>
  <c r="Z71" i="5"/>
  <c r="H71" i="5"/>
  <c r="Z70" i="5"/>
  <c r="H70" i="5"/>
  <c r="Z69" i="5"/>
  <c r="H69" i="5"/>
  <c r="Z68" i="5"/>
  <c r="H68" i="5"/>
  <c r="Z67" i="5"/>
  <c r="H67" i="5"/>
  <c r="Z66" i="5"/>
  <c r="H66" i="5"/>
  <c r="Z65" i="5"/>
  <c r="H65" i="5"/>
  <c r="Z64" i="5"/>
  <c r="H64" i="5"/>
  <c r="H63" i="5"/>
  <c r="H62" i="5"/>
  <c r="AA61" i="5"/>
  <c r="Z61" i="5"/>
  <c r="H61" i="5"/>
  <c r="AE61" i="5" s="1"/>
  <c r="AA60" i="5"/>
  <c r="H60" i="5"/>
  <c r="AE60" i="5" s="1"/>
  <c r="AA59" i="5"/>
  <c r="H59" i="5"/>
  <c r="AE59" i="5" s="1"/>
  <c r="AA58" i="5"/>
  <c r="V58" i="5"/>
  <c r="H58" i="5"/>
  <c r="AE58" i="5" s="1"/>
  <c r="V57" i="5"/>
  <c r="H57" i="5"/>
  <c r="AE57" i="5" s="1"/>
  <c r="H56" i="5"/>
  <c r="AE56" i="5" s="1"/>
  <c r="V55" i="5"/>
  <c r="H55" i="5"/>
  <c r="AE55" i="5" s="1"/>
  <c r="V54" i="5"/>
  <c r="H54" i="5"/>
  <c r="AE54" i="5" s="1"/>
  <c r="V53" i="5"/>
  <c r="H53" i="5"/>
  <c r="AE53" i="5" s="1"/>
  <c r="H52" i="5"/>
  <c r="AE52" i="5" s="1"/>
  <c r="H51" i="5"/>
  <c r="AE51" i="5" s="1"/>
  <c r="H50" i="5"/>
  <c r="AE50" i="5" s="1"/>
  <c r="H49" i="5"/>
  <c r="AE49" i="5" s="1"/>
  <c r="H48" i="5"/>
  <c r="AE48" i="5" s="1"/>
  <c r="H47" i="5"/>
  <c r="AE47" i="5" s="1"/>
  <c r="AA46" i="5"/>
  <c r="H46" i="5"/>
  <c r="AE46" i="5" s="1"/>
  <c r="H45" i="5"/>
  <c r="AE45" i="5" s="1"/>
  <c r="I44" i="5"/>
  <c r="H44" i="5"/>
  <c r="AE44" i="5" s="1"/>
  <c r="I43" i="5"/>
  <c r="AE43" i="5" s="1"/>
  <c r="AE42" i="5"/>
  <c r="AE41" i="5"/>
  <c r="AE40" i="5"/>
  <c r="AE39" i="5"/>
  <c r="AE38" i="5"/>
  <c r="AE37" i="5"/>
  <c r="AE36" i="5"/>
  <c r="AE35" i="5"/>
  <c r="AE34" i="5"/>
  <c r="AE33" i="5"/>
  <c r="AE32" i="5"/>
  <c r="AE31" i="5"/>
  <c r="I30" i="5"/>
  <c r="AE30" i="5" s="1"/>
  <c r="I29" i="5"/>
  <c r="AE29" i="5" s="1"/>
  <c r="I28" i="5"/>
  <c r="AE28" i="5" s="1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3" i="5"/>
  <c r="AE12" i="5"/>
  <c r="AE11" i="5"/>
  <c r="AE10" i="5"/>
  <c r="AE9" i="5"/>
  <c r="AE8" i="5"/>
  <c r="AE7" i="5"/>
  <c r="AE6" i="5"/>
  <c r="AE5" i="5"/>
  <c r="AE4" i="5"/>
  <c r="AE3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12" i="4"/>
  <c r="F112" i="4"/>
  <c r="E112" i="4"/>
  <c r="D112" i="4"/>
  <c r="Z111" i="4"/>
  <c r="H111" i="4"/>
  <c r="Z110" i="4"/>
  <c r="H110" i="4"/>
  <c r="Z109" i="4"/>
  <c r="H109" i="4"/>
  <c r="Z108" i="4"/>
  <c r="H108" i="4"/>
  <c r="Z107" i="4"/>
  <c r="H107" i="4"/>
  <c r="Z106" i="4"/>
  <c r="H106" i="4"/>
  <c r="Z105" i="4"/>
  <c r="H105" i="4"/>
  <c r="Z104" i="4"/>
  <c r="H104" i="4"/>
  <c r="Z103" i="4"/>
  <c r="H103" i="4"/>
  <c r="Z102" i="4"/>
  <c r="H102" i="4"/>
  <c r="Z101" i="4"/>
  <c r="H101" i="4"/>
  <c r="Z100" i="4"/>
  <c r="H100" i="4"/>
  <c r="Z99" i="4"/>
  <c r="H99" i="4"/>
  <c r="Z98" i="4"/>
  <c r="H98" i="4"/>
  <c r="Z97" i="4"/>
  <c r="H97" i="4"/>
  <c r="Z96" i="4"/>
  <c r="H96" i="4"/>
  <c r="Z95" i="4"/>
  <c r="H95" i="4"/>
  <c r="Z94" i="4"/>
  <c r="H94" i="4"/>
  <c r="Z93" i="4"/>
  <c r="H93" i="4"/>
  <c r="Z92" i="4"/>
  <c r="H92" i="4"/>
  <c r="Z91" i="4"/>
  <c r="H91" i="4"/>
  <c r="Z90" i="4"/>
  <c r="H90" i="4"/>
  <c r="Z89" i="4"/>
  <c r="H89" i="4"/>
  <c r="Z88" i="4"/>
  <c r="H88" i="4"/>
  <c r="Z87" i="4"/>
  <c r="H87" i="4"/>
  <c r="Z86" i="4"/>
  <c r="H86" i="4"/>
  <c r="Z85" i="4"/>
  <c r="H85" i="4"/>
  <c r="Z84" i="4"/>
  <c r="H84" i="4"/>
  <c r="Z83" i="4"/>
  <c r="H83" i="4"/>
  <c r="Z82" i="4"/>
  <c r="H82" i="4"/>
  <c r="Z81" i="4"/>
  <c r="H81" i="4"/>
  <c r="Z80" i="4"/>
  <c r="H80" i="4"/>
  <c r="Z79" i="4"/>
  <c r="H79" i="4"/>
  <c r="Z78" i="4"/>
  <c r="H78" i="4"/>
  <c r="Z77" i="4"/>
  <c r="H77" i="4"/>
  <c r="Z76" i="4"/>
  <c r="H76" i="4"/>
  <c r="Z75" i="4"/>
  <c r="H75" i="4"/>
  <c r="Z74" i="4"/>
  <c r="H74" i="4"/>
  <c r="Z73" i="4"/>
  <c r="H73" i="4"/>
  <c r="Z72" i="4"/>
  <c r="H72" i="4"/>
  <c r="Z71" i="4"/>
  <c r="H71" i="4"/>
  <c r="Z70" i="4"/>
  <c r="H70" i="4"/>
  <c r="Z69" i="4"/>
  <c r="H69" i="4"/>
  <c r="Z68" i="4"/>
  <c r="H68" i="4"/>
  <c r="Z67" i="4"/>
  <c r="H67" i="4"/>
  <c r="Z66" i="4"/>
  <c r="H66" i="4"/>
  <c r="Z65" i="4"/>
  <c r="H65" i="4"/>
  <c r="Z64" i="4"/>
  <c r="H64" i="4"/>
  <c r="H63" i="4"/>
  <c r="H62" i="4"/>
  <c r="AA61" i="4"/>
  <c r="Z61" i="4"/>
  <c r="H61" i="4"/>
  <c r="AE61" i="4" s="1"/>
  <c r="AA60" i="4"/>
  <c r="H60" i="4"/>
  <c r="AE60" i="4" s="1"/>
  <c r="AA59" i="4"/>
  <c r="H59" i="4"/>
  <c r="AE59" i="4" s="1"/>
  <c r="AA58" i="4"/>
  <c r="H58" i="4"/>
  <c r="AE58" i="4" s="1"/>
  <c r="V57" i="4"/>
  <c r="H57" i="4"/>
  <c r="AE57" i="4" s="1"/>
  <c r="H56" i="4"/>
  <c r="AE56" i="4" s="1"/>
  <c r="V55" i="4"/>
  <c r="H55" i="4"/>
  <c r="AE55" i="4" s="1"/>
  <c r="V54" i="4"/>
  <c r="H54" i="4"/>
  <c r="AE54" i="4" s="1"/>
  <c r="V53" i="4"/>
  <c r="H53" i="4"/>
  <c r="AE53" i="4" s="1"/>
  <c r="H52" i="4"/>
  <c r="AE52" i="4" s="1"/>
  <c r="H51" i="4"/>
  <c r="AE51" i="4" s="1"/>
  <c r="H50" i="4"/>
  <c r="AE50" i="4" s="1"/>
  <c r="H49" i="4"/>
  <c r="AE49" i="4" s="1"/>
  <c r="H48" i="4"/>
  <c r="AE48" i="4" s="1"/>
  <c r="H47" i="4"/>
  <c r="AE47" i="4" s="1"/>
  <c r="AA46" i="4"/>
  <c r="H46" i="4"/>
  <c r="AE46" i="4" s="1"/>
  <c r="H45" i="4"/>
  <c r="AE45" i="4" s="1"/>
  <c r="I44" i="4"/>
  <c r="H44" i="4"/>
  <c r="AE44" i="4" s="1"/>
  <c r="I43" i="4"/>
  <c r="AE43" i="4" s="1"/>
  <c r="AE42" i="4"/>
  <c r="AE41" i="4"/>
  <c r="AE40" i="4"/>
  <c r="AE39" i="4"/>
  <c r="AE38" i="4"/>
  <c r="AE37" i="4"/>
  <c r="AE36" i="4"/>
  <c r="AE35" i="4"/>
  <c r="AE34" i="4"/>
  <c r="AE33" i="4"/>
  <c r="AE32" i="4"/>
  <c r="AE31" i="4"/>
  <c r="I30" i="4"/>
  <c r="AE30" i="4" s="1"/>
  <c r="I29" i="4"/>
  <c r="AE29" i="4" s="1"/>
  <c r="I28" i="4"/>
  <c r="AE28" i="4" s="1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E5" i="4"/>
  <c r="AE4" i="4"/>
  <c r="AE3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B1" i="3"/>
  <c r="D42" i="1"/>
  <c r="C36" i="1"/>
  <c r="T28" i="1"/>
  <c r="A28" i="1"/>
  <c r="S15" i="1"/>
  <c r="S28" i="1" s="1"/>
  <c r="P9" i="1"/>
  <c r="P7" i="1"/>
  <c r="A295" i="2"/>
  <c r="G294" i="2" s="1"/>
  <c r="A275" i="2"/>
  <c r="G274" i="2"/>
  <c r="P274" i="2" s="1"/>
  <c r="K265" i="2"/>
  <c r="J265" i="2"/>
  <c r="A265" i="2"/>
  <c r="L138" i="2" s="1"/>
  <c r="A249" i="2"/>
  <c r="I248" i="2"/>
  <c r="G248" i="2"/>
  <c r="A240" i="2"/>
  <c r="I274" i="2" s="1"/>
  <c r="G239" i="2"/>
  <c r="A232" i="2"/>
  <c r="I231" i="2"/>
  <c r="G231" i="2"/>
  <c r="L229" i="2"/>
  <c r="K229" i="2"/>
  <c r="J229" i="2"/>
  <c r="A223" i="2"/>
  <c r="G222" i="2"/>
  <c r="A217" i="2"/>
  <c r="I216" i="2"/>
  <c r="G216" i="2"/>
  <c r="K213" i="2"/>
  <c r="J213" i="2"/>
  <c r="K197" i="2"/>
  <c r="J197" i="2"/>
  <c r="A194" i="2"/>
  <c r="D30" i="7" s="1"/>
  <c r="G193" i="2"/>
  <c r="K168" i="2"/>
  <c r="J168" i="2"/>
  <c r="K167" i="2"/>
  <c r="J167" i="2"/>
  <c r="K165" i="2"/>
  <c r="J165" i="2"/>
  <c r="K164" i="2"/>
  <c r="J164" i="2"/>
  <c r="K163" i="2"/>
  <c r="J163" i="2"/>
  <c r="K162" i="2"/>
  <c r="J162" i="2"/>
  <c r="K154" i="2"/>
  <c r="J154" i="2"/>
  <c r="K149" i="2"/>
  <c r="J149" i="2"/>
  <c r="K146" i="2"/>
  <c r="J145" i="2"/>
  <c r="A143" i="2"/>
  <c r="G139" i="2"/>
  <c r="K138" i="2"/>
  <c r="J138" i="2"/>
  <c r="G138" i="2"/>
  <c r="K134" i="2"/>
  <c r="J134" i="2"/>
  <c r="A127" i="2"/>
  <c r="G126" i="2"/>
  <c r="K109" i="2"/>
  <c r="J109" i="2"/>
  <c r="A101" i="2"/>
  <c r="L100" i="2"/>
  <c r="G100" i="2"/>
  <c r="K55" i="2"/>
  <c r="J55" i="2"/>
  <c r="K54" i="2"/>
  <c r="J54" i="2"/>
  <c r="K43" i="2"/>
  <c r="J43" i="2"/>
  <c r="K38" i="2"/>
  <c r="J38" i="2"/>
  <c r="K27" i="2"/>
  <c r="J27" i="2"/>
  <c r="K16" i="2"/>
  <c r="J16" i="2"/>
  <c r="K15" i="2"/>
  <c r="J15" i="2"/>
  <c r="K14" i="2"/>
  <c r="J14" i="2"/>
  <c r="K11" i="2"/>
  <c r="J11" i="2"/>
  <c r="K10" i="2"/>
  <c r="J10" i="2"/>
  <c r="K9" i="2"/>
  <c r="J9" i="2"/>
  <c r="K8" i="2"/>
  <c r="K7" i="2"/>
  <c r="K6" i="2"/>
  <c r="J6" i="2"/>
  <c r="K4" i="2"/>
  <c r="J4" i="2"/>
  <c r="A4" i="2"/>
  <c r="G3" i="2"/>
  <c r="S2" i="2"/>
  <c r="H2" i="2"/>
  <c r="C15" i="1" s="1"/>
  <c r="C28" i="1" s="1"/>
  <c r="C33" i="1" s="1"/>
  <c r="G142" i="2" l="1"/>
  <c r="N142" i="2" s="1"/>
  <c r="G264" i="2"/>
  <c r="Q264" i="2" s="1"/>
  <c r="R20" i="1" s="1"/>
  <c r="G2" i="2"/>
  <c r="R3" i="2"/>
  <c r="Q3" i="2"/>
  <c r="P3" i="2"/>
  <c r="O3" i="2"/>
  <c r="N3" i="2"/>
  <c r="M3" i="2"/>
  <c r="L3" i="2"/>
  <c r="D29" i="7"/>
  <c r="D28" i="7"/>
  <c r="D27" i="7"/>
  <c r="D26" i="7"/>
  <c r="D25" i="7"/>
  <c r="D23" i="7"/>
  <c r="D22" i="7"/>
  <c r="D21" i="7"/>
  <c r="D20" i="7"/>
  <c r="D19" i="7"/>
  <c r="D17" i="7"/>
  <c r="D16" i="7"/>
  <c r="D15" i="7"/>
  <c r="D14" i="7"/>
  <c r="D13" i="7"/>
  <c r="D12" i="7"/>
  <c r="D11" i="7"/>
  <c r="D10" i="7"/>
  <c r="D8" i="7"/>
  <c r="D7" i="7"/>
  <c r="D6" i="7"/>
  <c r="D5" i="7"/>
  <c r="D4" i="7"/>
  <c r="D3" i="7"/>
  <c r="D2" i="7"/>
  <c r="R100" i="2"/>
  <c r="Q100" i="2"/>
  <c r="P100" i="2"/>
  <c r="O16" i="1" s="1"/>
  <c r="O100" i="2"/>
  <c r="N16" i="1" s="1"/>
  <c r="N100" i="2"/>
  <c r="K16" i="1" s="1"/>
  <c r="M100" i="2"/>
  <c r="D16" i="1" s="1"/>
  <c r="D41" i="7"/>
  <c r="D40" i="7"/>
  <c r="D39" i="7"/>
  <c r="R142" i="2"/>
  <c r="R126" i="2"/>
  <c r="D38" i="7"/>
  <c r="L274" i="2"/>
  <c r="L264" i="2"/>
  <c r="I264" i="2"/>
  <c r="L222" i="2"/>
  <c r="Q142" i="2"/>
  <c r="P142" i="2"/>
  <c r="O23" i="1" s="1"/>
  <c r="O142" i="2"/>
  <c r="N23" i="1" s="1"/>
  <c r="K23" i="1"/>
  <c r="M142" i="2"/>
  <c r="D23" i="1" s="1"/>
  <c r="L142" i="2"/>
  <c r="D45" i="7"/>
  <c r="D44" i="7"/>
  <c r="D43" i="7"/>
  <c r="D42" i="7"/>
  <c r="D37" i="7"/>
  <c r="D36" i="7"/>
  <c r="D35" i="7"/>
  <c r="D34" i="7"/>
  <c r="D33" i="7"/>
  <c r="D31" i="7"/>
  <c r="D24" i="7"/>
  <c r="R193" i="2"/>
  <c r="Q193" i="2"/>
  <c r="P193" i="2"/>
  <c r="O24" i="1" s="1"/>
  <c r="O193" i="2"/>
  <c r="N24" i="1" s="1"/>
  <c r="N193" i="2"/>
  <c r="K24" i="1" s="1"/>
  <c r="M193" i="2"/>
  <c r="D24" i="1" s="1"/>
  <c r="L193" i="2"/>
  <c r="R216" i="2"/>
  <c r="Q216" i="2"/>
  <c r="P216" i="2"/>
  <c r="O18" i="1" s="1"/>
  <c r="O216" i="2"/>
  <c r="N18" i="1" s="1"/>
  <c r="N216" i="2"/>
  <c r="K18" i="1" s="1"/>
  <c r="M216" i="2"/>
  <c r="D18" i="1" s="1"/>
  <c r="R222" i="2"/>
  <c r="Q222" i="2"/>
  <c r="P222" i="2"/>
  <c r="O26" i="1" s="1"/>
  <c r="O222" i="2"/>
  <c r="N26" i="1" s="1"/>
  <c r="N222" i="2"/>
  <c r="K26" i="1" s="1"/>
  <c r="M222" i="2"/>
  <c r="D26" i="1" s="1"/>
  <c r="R231" i="2"/>
  <c r="Q231" i="2"/>
  <c r="P231" i="2"/>
  <c r="O19" i="1" s="1"/>
  <c r="O231" i="2"/>
  <c r="N19" i="1" s="1"/>
  <c r="N231" i="2"/>
  <c r="K19" i="1" s="1"/>
  <c r="M231" i="2"/>
  <c r="D19" i="1" s="1"/>
  <c r="R239" i="2"/>
  <c r="Q239" i="2"/>
  <c r="P239" i="2"/>
  <c r="O27" i="1" s="1"/>
  <c r="O239" i="2"/>
  <c r="N27" i="1" s="1"/>
  <c r="N239" i="2"/>
  <c r="K27" i="1" s="1"/>
  <c r="M239" i="2"/>
  <c r="D27" i="1" s="1"/>
  <c r="Q248" i="2"/>
  <c r="R25" i="1" s="1"/>
  <c r="P248" i="2"/>
  <c r="O25" i="1" s="1"/>
  <c r="O248" i="2"/>
  <c r="N25" i="1" s="1"/>
  <c r="N248" i="2"/>
  <c r="K25" i="1" s="1"/>
  <c r="M248" i="2"/>
  <c r="D25" i="1" s="1"/>
  <c r="Q294" i="2"/>
  <c r="R22" i="1" s="1"/>
  <c r="P294" i="2"/>
  <c r="O22" i="1" s="1"/>
  <c r="O294" i="2"/>
  <c r="N22" i="1" s="1"/>
  <c r="N294" i="2"/>
  <c r="K22" i="1" s="1"/>
  <c r="M294" i="2"/>
  <c r="D22" i="1" s="1"/>
  <c r="P264" i="2"/>
  <c r="O20" i="1" s="1"/>
  <c r="N264" i="2"/>
  <c r="K20" i="1" s="1"/>
  <c r="M264" i="2"/>
  <c r="D20" i="1" s="1"/>
  <c r="Q274" i="2"/>
  <c r="R21" i="1" s="1"/>
  <c r="O21" i="1"/>
  <c r="O274" i="2"/>
  <c r="N21" i="1" s="1"/>
  <c r="N274" i="2"/>
  <c r="K21" i="1" s="1"/>
  <c r="M274" i="2"/>
  <c r="D21" i="1" s="1"/>
  <c r="AD111" i="4"/>
  <c r="AC111" i="4"/>
  <c r="AD110" i="4"/>
  <c r="AC110" i="4"/>
  <c r="I246" i="2" s="1"/>
  <c r="I239" i="2" s="1"/>
  <c r="AD109" i="4"/>
  <c r="AC109" i="4"/>
  <c r="AD108" i="4"/>
  <c r="AC108" i="4"/>
  <c r="AD107" i="4"/>
  <c r="AC107" i="4"/>
  <c r="AD106" i="4"/>
  <c r="AC106" i="4"/>
  <c r="AD105" i="4"/>
  <c r="AC105" i="4"/>
  <c r="AD104" i="4"/>
  <c r="AC104" i="4"/>
  <c r="AD103" i="4"/>
  <c r="AC103" i="4"/>
  <c r="AD102" i="4"/>
  <c r="AC102" i="4"/>
  <c r="AD101" i="4"/>
  <c r="AC101" i="4"/>
  <c r="AD100" i="4"/>
  <c r="AC100" i="4"/>
  <c r="AD99" i="4"/>
  <c r="AC99" i="4"/>
  <c r="AD98" i="4"/>
  <c r="AC98" i="4"/>
  <c r="AD97" i="4"/>
  <c r="AC97" i="4"/>
  <c r="AD96" i="4"/>
  <c r="AC96" i="4"/>
  <c r="AD95" i="4"/>
  <c r="AC95" i="4"/>
  <c r="AD94" i="4"/>
  <c r="AC94" i="4"/>
  <c r="AD93" i="4"/>
  <c r="AC93" i="4"/>
  <c r="AD92" i="4"/>
  <c r="AC92" i="4"/>
  <c r="AD91" i="4"/>
  <c r="AC91" i="4"/>
  <c r="AD90" i="4"/>
  <c r="AC90" i="4"/>
  <c r="AD89" i="4"/>
  <c r="AC89" i="4"/>
  <c r="AD88" i="4"/>
  <c r="AC88" i="4"/>
  <c r="AD87" i="4"/>
  <c r="AC87" i="4"/>
  <c r="AD86" i="4"/>
  <c r="AC86" i="4"/>
  <c r="AD85" i="4"/>
  <c r="AC85" i="4"/>
  <c r="AD84" i="4"/>
  <c r="AC84" i="4"/>
  <c r="AD83" i="4"/>
  <c r="AC83" i="4"/>
  <c r="AD82" i="4"/>
  <c r="AC82" i="4"/>
  <c r="AD81" i="4"/>
  <c r="AC81" i="4"/>
  <c r="AD80" i="4"/>
  <c r="AC80" i="4"/>
  <c r="AD79" i="4"/>
  <c r="AC79" i="4"/>
  <c r="AD78" i="4"/>
  <c r="AC78" i="4"/>
  <c r="AD77" i="4"/>
  <c r="AC77" i="4"/>
  <c r="AD76" i="4"/>
  <c r="AC76" i="4"/>
  <c r="AD75" i="4"/>
  <c r="AC75" i="4"/>
  <c r="AD74" i="4"/>
  <c r="AC74" i="4"/>
  <c r="AD73" i="4"/>
  <c r="AC73" i="4"/>
  <c r="AD72" i="4"/>
  <c r="AC72" i="4"/>
  <c r="AD71" i="4"/>
  <c r="AC71" i="4"/>
  <c r="AD70" i="4"/>
  <c r="AC70" i="4"/>
  <c r="AD69" i="4"/>
  <c r="AC69" i="4"/>
  <c r="I154" i="2" s="1"/>
  <c r="AD68" i="4"/>
  <c r="AC68" i="4"/>
  <c r="AD67" i="4"/>
  <c r="AC67" i="4"/>
  <c r="AD66" i="4"/>
  <c r="AC66" i="4"/>
  <c r="I145" i="2" s="1"/>
  <c r="AD65" i="4"/>
  <c r="AC65" i="4"/>
  <c r="AD64" i="4"/>
  <c r="AC64" i="4"/>
  <c r="AD63" i="4"/>
  <c r="AC63" i="4"/>
  <c r="AD62" i="4"/>
  <c r="AC62" i="4"/>
  <c r="AD61" i="4"/>
  <c r="AC61" i="4"/>
  <c r="AD60" i="4"/>
  <c r="AC60" i="4"/>
  <c r="AD59" i="4"/>
  <c r="AC59" i="4"/>
  <c r="I168" i="2" s="1"/>
  <c r="AD58" i="4"/>
  <c r="AC58" i="4"/>
  <c r="I229" i="2" s="1"/>
  <c r="I222" i="2" s="1"/>
  <c r="AD57" i="4"/>
  <c r="AC57" i="4"/>
  <c r="AD56" i="4"/>
  <c r="AC56" i="4"/>
  <c r="AD55" i="4"/>
  <c r="AC55" i="4"/>
  <c r="AD54" i="4"/>
  <c r="AC54" i="4"/>
  <c r="AD53" i="4"/>
  <c r="AC53" i="4"/>
  <c r="AD52" i="4"/>
  <c r="AC52" i="4"/>
  <c r="AD51" i="4"/>
  <c r="AC51" i="4"/>
  <c r="AD50" i="4"/>
  <c r="AC50" i="4"/>
  <c r="I213" i="2" s="1"/>
  <c r="AD49" i="4"/>
  <c r="AC49" i="4"/>
  <c r="AD48" i="4"/>
  <c r="AC48" i="4"/>
  <c r="AD47" i="4"/>
  <c r="AC47" i="4"/>
  <c r="AD46" i="4"/>
  <c r="AC46" i="4"/>
  <c r="I197" i="2" s="1"/>
  <c r="I193" i="2" s="1"/>
  <c r="AD45" i="4"/>
  <c r="AC45" i="4"/>
  <c r="AD44" i="4"/>
  <c r="AC44" i="4"/>
  <c r="AD43" i="4"/>
  <c r="AC43" i="4"/>
  <c r="AD42" i="4"/>
  <c r="AC42" i="4"/>
  <c r="AD41" i="4"/>
  <c r="AC41" i="4"/>
  <c r="AD40" i="4"/>
  <c r="AC40" i="4"/>
  <c r="AD39" i="4"/>
  <c r="AC39" i="4"/>
  <c r="AD38" i="4"/>
  <c r="AC38" i="4"/>
  <c r="AD37" i="4"/>
  <c r="AC37" i="4"/>
  <c r="AD36" i="4"/>
  <c r="AC36" i="4"/>
  <c r="AD35" i="4"/>
  <c r="AC35" i="4"/>
  <c r="AD34" i="4"/>
  <c r="AC34" i="4"/>
  <c r="AD33" i="4"/>
  <c r="AC33" i="4"/>
  <c r="AD32" i="4"/>
  <c r="AC32" i="4"/>
  <c r="AD31" i="4"/>
  <c r="AC31" i="4"/>
  <c r="AD30" i="4"/>
  <c r="AC30" i="4"/>
  <c r="AD29" i="4"/>
  <c r="AC29" i="4"/>
  <c r="AD28" i="4"/>
  <c r="AC28" i="4"/>
  <c r="AD27" i="4"/>
  <c r="AC27" i="4"/>
  <c r="AD26" i="4"/>
  <c r="AC26" i="4"/>
  <c r="AD25" i="4"/>
  <c r="AC25" i="4"/>
  <c r="AD24" i="4"/>
  <c r="L134" i="2" s="1"/>
  <c r="AC24" i="4"/>
  <c r="AD23" i="4"/>
  <c r="AC23" i="4"/>
  <c r="AD22" i="4"/>
  <c r="AC22" i="4"/>
  <c r="I55" i="2" s="1"/>
  <c r="AD21" i="4"/>
  <c r="AC21" i="4"/>
  <c r="AD20" i="4"/>
  <c r="AC20" i="4"/>
  <c r="AD19" i="4"/>
  <c r="AC19" i="4"/>
  <c r="AD18" i="4"/>
  <c r="AC18" i="4"/>
  <c r="AD17" i="4"/>
  <c r="AC17" i="4"/>
  <c r="AD16" i="4"/>
  <c r="AC16" i="4"/>
  <c r="AD15" i="4"/>
  <c r="AC15" i="4"/>
  <c r="AD14" i="4"/>
  <c r="AC14" i="4"/>
  <c r="AD13" i="4"/>
  <c r="AC13" i="4"/>
  <c r="AD12" i="4"/>
  <c r="AC12" i="4"/>
  <c r="I27" i="2" s="1"/>
  <c r="AD11" i="4"/>
  <c r="AC11" i="4"/>
  <c r="AD10" i="4"/>
  <c r="AC10" i="4"/>
  <c r="AD9" i="4"/>
  <c r="AC9" i="4"/>
  <c r="AD8" i="4"/>
  <c r="AC8" i="4"/>
  <c r="AD7" i="4"/>
  <c r="AC7" i="4"/>
  <c r="AD6" i="4"/>
  <c r="AC6" i="4"/>
  <c r="AD5" i="4"/>
  <c r="AC5" i="4"/>
  <c r="AD4" i="4"/>
  <c r="AC4" i="4"/>
  <c r="AD3" i="4"/>
  <c r="AC3" i="4"/>
  <c r="AA111" i="4"/>
  <c r="L111" i="4"/>
  <c r="L110" i="4"/>
  <c r="AA109" i="4"/>
  <c r="L109" i="4"/>
  <c r="AA108" i="4"/>
  <c r="L108" i="4"/>
  <c r="AA107" i="4"/>
  <c r="L107" i="4"/>
  <c r="AA106" i="4"/>
  <c r="L106" i="4"/>
  <c r="AA105" i="4"/>
  <c r="L105" i="4"/>
  <c r="AA104" i="4"/>
  <c r="L104" i="4"/>
  <c r="AA103" i="4"/>
  <c r="L103" i="4"/>
  <c r="AA102" i="4"/>
  <c r="L102" i="4"/>
  <c r="AA101" i="4"/>
  <c r="L101" i="4"/>
  <c r="AA100" i="4"/>
  <c r="L100" i="4"/>
  <c r="AA99" i="4"/>
  <c r="L99" i="4"/>
  <c r="AA98" i="4"/>
  <c r="L98" i="4"/>
  <c r="AA97" i="4"/>
  <c r="L97" i="4"/>
  <c r="AA96" i="4"/>
  <c r="L96" i="4"/>
  <c r="AA95" i="4"/>
  <c r="L95" i="4"/>
  <c r="AA94" i="4"/>
  <c r="L94" i="4"/>
  <c r="AA93" i="4"/>
  <c r="L93" i="4"/>
  <c r="AA92" i="4"/>
  <c r="L92" i="4"/>
  <c r="AA91" i="4"/>
  <c r="L91" i="4"/>
  <c r="AA90" i="4"/>
  <c r="L90" i="4"/>
  <c r="AA89" i="4"/>
  <c r="L89" i="4"/>
  <c r="AA88" i="4"/>
  <c r="L88" i="4"/>
  <c r="AA87" i="4"/>
  <c r="L87" i="4"/>
  <c r="AA86" i="4"/>
  <c r="L86" i="4"/>
  <c r="AA85" i="4"/>
  <c r="L85" i="4"/>
  <c r="AA84" i="4"/>
  <c r="L84" i="4"/>
  <c r="AA83" i="4"/>
  <c r="L83" i="4"/>
  <c r="AA82" i="4"/>
  <c r="L82" i="4"/>
  <c r="AA81" i="4"/>
  <c r="L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6" i="4"/>
  <c r="AA65" i="4"/>
  <c r="AA64" i="4"/>
  <c r="AA62" i="4"/>
  <c r="AE62" i="4" s="1"/>
  <c r="AA67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D111" i="5"/>
  <c r="AC111" i="5"/>
  <c r="AD110" i="5"/>
  <c r="AC110" i="5"/>
  <c r="AD109" i="5"/>
  <c r="AC109" i="5"/>
  <c r="AD108" i="5"/>
  <c r="AC108" i="5"/>
  <c r="AD107" i="5"/>
  <c r="AC107" i="5"/>
  <c r="AD106" i="5"/>
  <c r="AC106" i="5"/>
  <c r="AD105" i="5"/>
  <c r="AC105" i="5"/>
  <c r="AD104" i="5"/>
  <c r="AC104" i="5"/>
  <c r="AD103" i="5"/>
  <c r="AC103" i="5"/>
  <c r="AD102" i="5"/>
  <c r="AC102" i="5"/>
  <c r="AD101" i="5"/>
  <c r="AC101" i="5"/>
  <c r="AD100" i="5"/>
  <c r="AC100" i="5"/>
  <c r="AD99" i="5"/>
  <c r="AC99" i="5"/>
  <c r="AD98" i="5"/>
  <c r="AC98" i="5"/>
  <c r="AD97" i="5"/>
  <c r="AC97" i="5"/>
  <c r="AD96" i="5"/>
  <c r="AC96" i="5"/>
  <c r="AD95" i="5"/>
  <c r="AC95" i="5"/>
  <c r="AD94" i="5"/>
  <c r="AC94" i="5"/>
  <c r="AD93" i="5"/>
  <c r="AC93" i="5"/>
  <c r="AD92" i="5"/>
  <c r="AC92" i="5"/>
  <c r="AD91" i="5"/>
  <c r="AC91" i="5"/>
  <c r="AD90" i="5"/>
  <c r="AC90" i="5"/>
  <c r="AD89" i="5"/>
  <c r="AC89" i="5"/>
  <c r="AD88" i="5"/>
  <c r="AC88" i="5"/>
  <c r="AD87" i="5"/>
  <c r="AC87" i="5"/>
  <c r="AD86" i="5"/>
  <c r="AC86" i="5"/>
  <c r="AD85" i="5"/>
  <c r="AC85" i="5"/>
  <c r="AD84" i="5"/>
  <c r="AC84" i="5"/>
  <c r="AD83" i="5"/>
  <c r="AC83" i="5"/>
  <c r="AD82" i="5"/>
  <c r="AC82" i="5"/>
  <c r="AD81" i="5"/>
  <c r="AC81" i="5"/>
  <c r="AD80" i="5"/>
  <c r="AC80" i="5"/>
  <c r="AD79" i="5"/>
  <c r="AC79" i="5"/>
  <c r="AD78" i="5"/>
  <c r="AC78" i="5"/>
  <c r="AD77" i="5"/>
  <c r="AC77" i="5"/>
  <c r="AD76" i="5"/>
  <c r="AC76" i="5"/>
  <c r="AD75" i="5"/>
  <c r="AC75" i="5"/>
  <c r="AD74" i="5"/>
  <c r="AC74" i="5"/>
  <c r="AD73" i="5"/>
  <c r="AC73" i="5"/>
  <c r="AD72" i="5"/>
  <c r="AC72" i="5"/>
  <c r="AD71" i="5"/>
  <c r="AC71" i="5"/>
  <c r="AD70" i="5"/>
  <c r="AC70" i="5"/>
  <c r="AD69" i="5"/>
  <c r="AC69" i="5"/>
  <c r="AD68" i="5"/>
  <c r="AC68" i="5"/>
  <c r="AD67" i="5"/>
  <c r="AC67" i="5"/>
  <c r="AD66" i="5"/>
  <c r="AC66" i="5"/>
  <c r="AD65" i="5"/>
  <c r="AC65" i="5"/>
  <c r="AD64" i="5"/>
  <c r="AC64" i="5"/>
  <c r="AD63" i="5"/>
  <c r="AC63" i="5"/>
  <c r="AD62" i="5"/>
  <c r="AC62" i="5"/>
  <c r="AD61" i="5"/>
  <c r="AC61" i="5"/>
  <c r="AD60" i="5"/>
  <c r="AC60" i="5"/>
  <c r="AD59" i="5"/>
  <c r="AC59" i="5"/>
  <c r="AD58" i="5"/>
  <c r="AC58" i="5"/>
  <c r="AD57" i="5"/>
  <c r="AC57" i="5"/>
  <c r="AD56" i="5"/>
  <c r="AC56" i="5"/>
  <c r="AD55" i="5"/>
  <c r="AC55" i="5"/>
  <c r="AD54" i="5"/>
  <c r="AC54" i="5"/>
  <c r="AD53" i="5"/>
  <c r="AC53" i="5"/>
  <c r="AD52" i="5"/>
  <c r="AC52" i="5"/>
  <c r="AD51" i="5"/>
  <c r="AC51" i="5"/>
  <c r="AD50" i="5"/>
  <c r="AC50" i="5"/>
  <c r="AD49" i="5"/>
  <c r="AC49" i="5"/>
  <c r="AD48" i="5"/>
  <c r="AC48" i="5"/>
  <c r="AD47" i="5"/>
  <c r="AC47" i="5"/>
  <c r="AD46" i="5"/>
  <c r="AC46" i="5"/>
  <c r="AD45" i="5"/>
  <c r="AC45" i="5"/>
  <c r="AD44" i="5"/>
  <c r="AC44" i="5"/>
  <c r="AD43" i="5"/>
  <c r="AC43" i="5"/>
  <c r="AD42" i="5"/>
  <c r="AC42" i="5"/>
  <c r="AD41" i="5"/>
  <c r="AC41" i="5"/>
  <c r="AD40" i="5"/>
  <c r="AC40" i="5"/>
  <c r="AD39" i="5"/>
  <c r="AC39" i="5"/>
  <c r="AD38" i="5"/>
  <c r="AC38" i="5"/>
  <c r="AD37" i="5"/>
  <c r="AC37" i="5"/>
  <c r="AD36" i="5"/>
  <c r="AC36" i="5"/>
  <c r="AD35" i="5"/>
  <c r="AC35" i="5"/>
  <c r="AD34" i="5"/>
  <c r="AC34" i="5"/>
  <c r="AD33" i="5"/>
  <c r="AC33" i="5"/>
  <c r="AD32" i="5"/>
  <c r="AC32" i="5"/>
  <c r="AD31" i="5"/>
  <c r="AC31" i="5"/>
  <c r="AD30" i="5"/>
  <c r="AC30" i="5"/>
  <c r="AD29" i="5"/>
  <c r="AC29" i="5"/>
  <c r="AD28" i="5"/>
  <c r="AC28" i="5"/>
  <c r="AD27" i="5"/>
  <c r="AC27" i="5"/>
  <c r="AD26" i="5"/>
  <c r="AC26" i="5"/>
  <c r="AD25" i="5"/>
  <c r="AC25" i="5"/>
  <c r="AD24" i="5"/>
  <c r="AC24" i="5"/>
  <c r="AD23" i="5"/>
  <c r="AC23" i="5"/>
  <c r="AD22" i="5"/>
  <c r="AC22" i="5"/>
  <c r="AD21" i="5"/>
  <c r="AC21" i="5"/>
  <c r="AD20" i="5"/>
  <c r="AC20" i="5"/>
  <c r="AD19" i="5"/>
  <c r="AC19" i="5"/>
  <c r="AD18" i="5"/>
  <c r="AC18" i="5"/>
  <c r="AD17" i="5"/>
  <c r="AC17" i="5"/>
  <c r="AD16" i="5"/>
  <c r="AC16" i="5"/>
  <c r="AD15" i="5"/>
  <c r="AC15" i="5"/>
  <c r="AD14" i="5"/>
  <c r="AC14" i="5"/>
  <c r="AD13" i="5"/>
  <c r="AC13" i="5"/>
  <c r="AD12" i="5"/>
  <c r="AC12" i="5"/>
  <c r="AD11" i="5"/>
  <c r="AC11" i="5"/>
  <c r="AD10" i="5"/>
  <c r="AC10" i="5"/>
  <c r="AD9" i="5"/>
  <c r="AC9" i="5"/>
  <c r="AD8" i="5"/>
  <c r="AC8" i="5"/>
  <c r="AD7" i="5"/>
  <c r="AC7" i="5"/>
  <c r="AD6" i="5"/>
  <c r="AC6" i="5"/>
  <c r="AD5" i="5"/>
  <c r="AC5" i="5"/>
  <c r="AD4" i="5"/>
  <c r="AC4" i="5"/>
  <c r="AD3" i="5"/>
  <c r="AC3" i="5"/>
  <c r="AA111" i="5"/>
  <c r="L111" i="5"/>
  <c r="AA110" i="5"/>
  <c r="L110" i="5"/>
  <c r="AA109" i="5"/>
  <c r="L109" i="5"/>
  <c r="AA108" i="5"/>
  <c r="L108" i="5"/>
  <c r="AA107" i="5"/>
  <c r="L107" i="5"/>
  <c r="AA106" i="5"/>
  <c r="L106" i="5"/>
  <c r="AA105" i="5"/>
  <c r="L105" i="5"/>
  <c r="AA104" i="5"/>
  <c r="L104" i="5"/>
  <c r="AA103" i="5"/>
  <c r="L103" i="5"/>
  <c r="AA102" i="5"/>
  <c r="L102" i="5"/>
  <c r="AA101" i="5"/>
  <c r="L101" i="5"/>
  <c r="AA100" i="5"/>
  <c r="L100" i="5"/>
  <c r="AA99" i="5"/>
  <c r="L99" i="5"/>
  <c r="AA98" i="5"/>
  <c r="L98" i="5"/>
  <c r="AA97" i="5"/>
  <c r="L97" i="5"/>
  <c r="AA96" i="5"/>
  <c r="L96" i="5"/>
  <c r="AA95" i="5"/>
  <c r="L95" i="5"/>
  <c r="AA94" i="5"/>
  <c r="L94" i="5"/>
  <c r="AA93" i="5"/>
  <c r="L93" i="5"/>
  <c r="AA92" i="5"/>
  <c r="L92" i="5"/>
  <c r="AA91" i="5"/>
  <c r="L91" i="5"/>
  <c r="AA90" i="5"/>
  <c r="L90" i="5"/>
  <c r="AA89" i="5"/>
  <c r="L89" i="5"/>
  <c r="AA88" i="5"/>
  <c r="L88" i="5"/>
  <c r="AA87" i="5"/>
  <c r="L87" i="5"/>
  <c r="AA86" i="5"/>
  <c r="L86" i="5"/>
  <c r="AA85" i="5"/>
  <c r="L85" i="5"/>
  <c r="AA84" i="5"/>
  <c r="L84" i="5"/>
  <c r="AA83" i="5"/>
  <c r="L83" i="5"/>
  <c r="AA82" i="5"/>
  <c r="L82" i="5"/>
  <c r="AA81" i="5"/>
  <c r="L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6" i="5"/>
  <c r="AA65" i="5"/>
  <c r="AA64" i="5"/>
  <c r="AA62" i="5"/>
  <c r="AE62" i="5" s="1"/>
  <c r="AA67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G14" i="7"/>
  <c r="I142" i="2" l="1"/>
  <c r="L126" i="2"/>
  <c r="K126" i="2"/>
  <c r="Q126" i="2"/>
  <c r="P126" i="2"/>
  <c r="O17" i="1" s="1"/>
  <c r="O126" i="2"/>
  <c r="N17" i="1" s="1"/>
  <c r="N126" i="2"/>
  <c r="K17" i="1" s="1"/>
  <c r="M126" i="2"/>
  <c r="D17" i="1" s="1"/>
  <c r="L27" i="1"/>
  <c r="M27" i="1"/>
  <c r="P27" i="1"/>
  <c r="Q27" i="1"/>
  <c r="Y239" i="2"/>
  <c r="R27" i="1"/>
  <c r="L26" i="1"/>
  <c r="M26" i="1"/>
  <c r="P26" i="1"/>
  <c r="Q26" i="1"/>
  <c r="Y222" i="2"/>
  <c r="R26" i="1"/>
  <c r="L24" i="1"/>
  <c r="M24" i="1"/>
  <c r="P24" i="1"/>
  <c r="Q24" i="1"/>
  <c r="Y193" i="2"/>
  <c r="R24" i="1"/>
  <c r="L22" i="1"/>
  <c r="M22" i="1"/>
  <c r="P22" i="1"/>
  <c r="Q22" i="1"/>
  <c r="L19" i="1"/>
  <c r="M19" i="1"/>
  <c r="P19" i="1"/>
  <c r="Q19" i="1"/>
  <c r="Y231" i="2"/>
  <c r="R19" i="1"/>
  <c r="L18" i="1"/>
  <c r="M18" i="1"/>
  <c r="P18" i="1"/>
  <c r="Q18" i="1"/>
  <c r="Y216" i="2"/>
  <c r="R18" i="1"/>
  <c r="L17" i="1"/>
  <c r="M17" i="1"/>
  <c r="P17" i="1"/>
  <c r="Q17" i="1"/>
  <c r="Y126" i="2"/>
  <c r="R17" i="1"/>
  <c r="M16" i="1"/>
  <c r="L16" i="1"/>
  <c r="Q16" i="1"/>
  <c r="P16" i="1"/>
  <c r="Q25" i="1"/>
  <c r="P25" i="1"/>
  <c r="M25" i="1"/>
  <c r="L25" i="1"/>
  <c r="M21" i="1"/>
  <c r="L21" i="1"/>
  <c r="Q21" i="1"/>
  <c r="P21" i="1"/>
  <c r="O264" i="2"/>
  <c r="N20" i="1" s="1"/>
  <c r="I3" i="2"/>
  <c r="M23" i="1"/>
  <c r="L23" i="1"/>
  <c r="L265" i="2"/>
  <c r="Q23" i="1"/>
  <c r="P23" i="1"/>
  <c r="AD112" i="5"/>
  <c r="Q20" i="1"/>
  <c r="P20" i="1"/>
  <c r="AC112" i="5"/>
  <c r="AC112" i="4"/>
  <c r="M20" i="1"/>
  <c r="L20" i="1"/>
  <c r="AD112" i="4"/>
  <c r="I265" i="2"/>
  <c r="I134" i="2"/>
  <c r="I126" i="2" s="1"/>
  <c r="I109" i="2"/>
  <c r="I100" i="2" s="1"/>
  <c r="R23" i="1"/>
  <c r="Y142" i="2"/>
  <c r="R16" i="1"/>
  <c r="Y100" i="2"/>
  <c r="L2" i="2"/>
  <c r="H15" i="1" s="1"/>
  <c r="D15" i="1"/>
  <c r="D28" i="1" s="1"/>
  <c r="M2" i="2"/>
  <c r="K15" i="1"/>
  <c r="N2" i="2"/>
  <c r="N15" i="1"/>
  <c r="N28" i="1" s="1"/>
  <c r="O2" i="2"/>
  <c r="O15" i="1"/>
  <c r="P2" i="2"/>
  <c r="R15" i="1"/>
  <c r="Q2" i="2"/>
  <c r="R2" i="2"/>
  <c r="M15" i="1" l="1"/>
  <c r="M28" i="1" s="1"/>
  <c r="L15" i="1"/>
  <c r="L28" i="1" s="1"/>
  <c r="Q15" i="1"/>
  <c r="Q28" i="1" s="1"/>
  <c r="P15" i="1"/>
  <c r="P28" i="1" s="1"/>
  <c r="J15" i="1"/>
  <c r="J28" i="1" s="1"/>
  <c r="I15" i="1"/>
  <c r="I28" i="1" s="1"/>
  <c r="R28" i="1"/>
  <c r="I2" i="2"/>
  <c r="C34" i="1" l="1"/>
  <c r="E15" i="1"/>
  <c r="F1" i="2"/>
  <c r="G15" i="1" l="1"/>
  <c r="G28" i="1" s="1"/>
  <c r="F28" i="1"/>
  <c r="C35" i="1" l="1"/>
  <c r="C32" i="1" s="1"/>
  <c r="C37" i="1" s="1"/>
  <c r="D32" i="1" s="1"/>
  <c r="D35" i="1"/>
  <c r="D33" i="1"/>
  <c r="D36" i="1"/>
  <c r="D34" i="1"/>
  <c r="D3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C4" authorId="0" shapeId="0" xr:uid="{00000000-0006-0000-0000-000001000000}">
      <text>
        <r>
          <rPr>
            <sz val="10"/>
            <rFont val="Arial"/>
            <family val="2"/>
          </rPr>
          <t>Rodrigo Welter:
Considerar entre 8% a 14%
- Tamanho da Empresa
- Número de usuários
- Maturidade x Alinhamento Interno
- Parceria/Alinhamento da área de TI
- Número de módulos e etapas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E22" authorId="0" shapeId="0" xr:uid="{00000000-0006-0000-0100-000001000000}">
      <text>
        <r>
          <rPr>
            <sz val="10"/>
            <rFont val="Arial"/>
            <family val="2"/>
          </rPr>
          <t>Fernando Scatolin:
Está em roadmap de produto</t>
        </r>
      </text>
    </comment>
    <comment ref="E29" authorId="0" shapeId="0" xr:uid="{00000000-0006-0000-0100-000002000000}">
      <text>
        <r>
          <rPr>
            <sz val="10"/>
            <rFont val="Arial"/>
            <family val="2"/>
          </rPr>
          <t>Fernando Scatolin:
Validar com Jane</t>
        </r>
      </text>
    </comment>
    <comment ref="E56" authorId="0" shapeId="0" xr:uid="{00000000-0006-0000-0100-000003000000}">
      <text>
        <r>
          <rPr>
            <sz val="10"/>
            <rFont val="Arial"/>
            <family val="2"/>
          </rPr>
          <t>Fernando Scatolin:
Validar com Jane se é utilizado para máquinas</t>
        </r>
      </text>
    </comment>
    <comment ref="E60" authorId="0" shapeId="0" xr:uid="{00000000-0006-0000-0100-000004000000}">
      <text>
        <r>
          <rPr>
            <sz val="10"/>
            <rFont val="Arial"/>
            <family val="2"/>
          </rPr>
          <t>Fernando Scatolin:
Validar com Jane</t>
        </r>
      </text>
    </comment>
    <comment ref="E61" authorId="0" shapeId="0" xr:uid="{00000000-0006-0000-0100-000005000000}">
      <text>
        <r>
          <rPr>
            <sz val="10"/>
            <rFont val="Arial"/>
            <family val="2"/>
          </rPr>
          <t>Fernando Scatolin:
Validar com Jane se é utilizado para máquinas</t>
        </r>
      </text>
    </comment>
    <comment ref="E62" authorId="0" shapeId="0" xr:uid="{00000000-0006-0000-0100-000006000000}">
      <text>
        <r>
          <rPr>
            <sz val="10"/>
            <rFont val="Arial"/>
            <family val="2"/>
          </rPr>
          <t>Fernando Scatolin:
Validar com Jane</t>
        </r>
      </text>
    </comment>
    <comment ref="E63" authorId="0" shapeId="0" xr:uid="{00000000-0006-0000-0100-000007000000}">
      <text>
        <r>
          <rPr>
            <sz val="10"/>
            <rFont val="Arial"/>
            <family val="2"/>
          </rPr>
          <t>Fernando Scatolin:
Validar com Jane se é utilizado para máquinas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D10" authorId="0" shapeId="0" xr:uid="{00000000-0006-0000-0300-000001000000}">
      <text>
        <r>
          <rPr>
            <sz val="10"/>
            <rFont val="Arial"/>
            <family val="2"/>
          </rPr>
          <t>Elismar Flávio:
Garantir volume mínimo para atuação</t>
        </r>
      </text>
    </comment>
    <comment ref="D12" authorId="0" shapeId="0" xr:uid="{00000000-0006-0000-0300-000002000000}">
      <text>
        <r>
          <rPr>
            <sz val="10"/>
            <rFont val="Arial"/>
            <family val="2"/>
          </rPr>
          <t>Elismar Flávio:
Garantir volume mínimo para atuação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C2" authorId="0" shapeId="0" xr:uid="{00000000-0006-0000-0400-000003000000}">
      <text>
        <r>
          <rPr>
            <sz val="10"/>
            <rFont val="Arial"/>
            <family val="2"/>
          </rPr>
          <t>Rodrigo Welter:
Não está correto</t>
        </r>
      </text>
    </comment>
    <comment ref="D12" authorId="0" shapeId="0" xr:uid="{00000000-0006-0000-0400-000001000000}">
      <text>
        <r>
          <rPr>
            <sz val="10"/>
            <rFont val="Arial"/>
            <family val="2"/>
          </rPr>
          <t>Elismar Flávio:
Garantir horas mínimas para construção do layput com o cliente, mesmo que seja apenas cadastros básicos o projeto</t>
        </r>
      </text>
    </comment>
    <comment ref="D22" authorId="0" shapeId="0" xr:uid="{00000000-0006-0000-0400-000002000000}">
      <text>
        <r>
          <rPr>
            <sz val="10"/>
            <rFont val="Arial"/>
            <family val="2"/>
          </rPr>
          <t>Elismar Flávio:
Garantir horas mínimas para construção do layput com o cliente, mesmo que seja apenas cadastros básicos o projeto</t>
        </r>
      </text>
    </comment>
  </commentList>
</comments>
</file>

<file path=xl/sharedStrings.xml><?xml version="1.0" encoding="utf-8"?>
<sst xmlns="http://schemas.openxmlformats.org/spreadsheetml/2006/main" count="6373" uniqueCount="950">
  <si>
    <t>PLANILHA DE ESTIMATIVA DE HORAS PARA PROJETOS DE IMPLANTAÇÃO CLOVER CRM</t>
  </si>
  <si>
    <t>Parâmetros Gerais:</t>
  </si>
  <si>
    <t>Formato dos Treinamentos:</t>
  </si>
  <si>
    <t>Nome do Cliente:</t>
  </si>
  <si>
    <t>Número total de usuários licenciados</t>
  </si>
  <si>
    <t>Treinamento Adm, Configuração e Simulações:</t>
  </si>
  <si>
    <t>Presencial</t>
  </si>
  <si>
    <t>&lt;Digite o nome do cliente aqui&gt;</t>
  </si>
  <si>
    <t>Fator p/ Gestão de Projeto</t>
  </si>
  <si>
    <t>Treinamento Operacional e Go-Live:</t>
  </si>
  <si>
    <t>ERP do cliente</t>
  </si>
  <si>
    <t>ALIARE - SOLUTION</t>
  </si>
  <si>
    <t>Número de administradores:</t>
  </si>
  <si>
    <t>Método de integração do Aliare Integra</t>
  </si>
  <si>
    <t>API padrão ERP</t>
  </si>
  <si>
    <t>Número de usuários operacionais (vendedores):</t>
  </si>
  <si>
    <t>Qtde Tumas Gestores</t>
  </si>
  <si>
    <t>Será usado ambiente de produção e homologação?</t>
  </si>
  <si>
    <t>NÃO</t>
  </si>
  <si>
    <t>Número de gestores:</t>
  </si>
  <si>
    <t>Regras para treinamentos:
Treinamentos presenciais: 20 pessoas por turma, a partir de 25 pessoas será contabilizados 2 consultores. Treinamentos remotos: 10 pessoas por turma.</t>
  </si>
  <si>
    <t>O projeto será na Cloud Aliare?</t>
  </si>
  <si>
    <t>SIM</t>
  </si>
  <si>
    <t>Tamanho das Turmas p/ Treinamento Operacional:</t>
  </si>
  <si>
    <t>Qtd Tumas Operac.</t>
  </si>
  <si>
    <t>Fases de implantação</t>
  </si>
  <si>
    <t>Tamanho das Turmas p/ Treinamento Gestor:</t>
  </si>
  <si>
    <t>consultor</t>
  </si>
  <si>
    <t>consultores</t>
  </si>
  <si>
    <t>Coeficiente de complexidade (multi-empresa)</t>
  </si>
  <si>
    <t>Em quantas etapas ocorrerá o Go-Live por fase:</t>
  </si>
  <si>
    <t>Escopo Cliente (x)</t>
  </si>
  <si>
    <t>Módulos do Clover</t>
  </si>
  <si>
    <t>Estimativa de Horas do Projeto de Implantação</t>
  </si>
  <si>
    <t>Instalação 
dos sistemas</t>
  </si>
  <si>
    <t>Definição de regras, processos, layouts e documentação</t>
  </si>
  <si>
    <t>Integração de Dados Técnica</t>
  </si>
  <si>
    <t>Validação de dados da integração</t>
  </si>
  <si>
    <t>Parametrização</t>
  </si>
  <si>
    <t>Treinamento Adm., Config. e Simulação</t>
  </si>
  <si>
    <t xml:space="preserve">Validação do ambiente + testes funcionais
</t>
  </si>
  <si>
    <t>Go-Live</t>
  </si>
  <si>
    <t>Acompanhamento Go-Live</t>
  </si>
  <si>
    <t>Pós-Produção</t>
  </si>
  <si>
    <t>Total</t>
  </si>
  <si>
    <t>Homologação</t>
  </si>
  <si>
    <t>Produção</t>
  </si>
  <si>
    <t>x</t>
  </si>
  <si>
    <t>CRM - MM - Funcionalidades Fundamentais</t>
  </si>
  <si>
    <t>CRM - MM - Registro de Visita</t>
  </si>
  <si>
    <t>CRM - MM - Potencial &amp; Metas</t>
  </si>
  <si>
    <t>CRM - MM - Segmentação</t>
  </si>
  <si>
    <t>CRM - MM - Previsão de Vendas</t>
  </si>
  <si>
    <t>CRM - MM - Analise de Vendas</t>
  </si>
  <si>
    <t>CRM - MM - Potencial Maquinas</t>
  </si>
  <si>
    <t>CRM - MM - Chamados</t>
  </si>
  <si>
    <t>CRM - MM - Força de Vendas</t>
  </si>
  <si>
    <t>CRM - MM - Viagem</t>
  </si>
  <si>
    <t>CRM - MM - Funil de Vendas</t>
  </si>
  <si>
    <t>CRM - MM - Proposta de Crédito</t>
  </si>
  <si>
    <t>CRM - MM - Ordem de Serviço</t>
  </si>
  <si>
    <t>TOTAL</t>
  </si>
  <si>
    <t>SERVIÇOS</t>
  </si>
  <si>
    <t>Especialidade</t>
  </si>
  <si>
    <t>Horas Estimadas</t>
  </si>
  <si>
    <t>%</t>
  </si>
  <si>
    <t>Gerenciamento de Projeto</t>
  </si>
  <si>
    <t>Instalação</t>
  </si>
  <si>
    <t>Implantação</t>
  </si>
  <si>
    <t>Integração Técnica</t>
  </si>
  <si>
    <t>Adequações</t>
  </si>
  <si>
    <t>Tarefa</t>
  </si>
  <si>
    <t>Descrição</t>
  </si>
  <si>
    <t>Horas</t>
  </si>
  <si>
    <t>= SE(E(A101="x";D109="x"); 0; SE(E(A314='Resumo'!A23"x";OU(D314="x";D315="x";D316="x")); 0;'Aliare Integra AGB'!G24))</t>
  </si>
  <si>
    <t>TOTAL ESTIMADO DE HORAS (s/ horas de gestão de projeto)</t>
  </si>
  <si>
    <t>C&amp;S CRM</t>
  </si>
  <si>
    <t>instalação</t>
  </si>
  <si>
    <t>Integração de Dados</t>
  </si>
  <si>
    <t>Fluxos de Integração</t>
  </si>
  <si>
    <t>Tabelas Integradas</t>
  </si>
  <si>
    <t>Validação de Dados</t>
  </si>
  <si>
    <t>LRP</t>
  </si>
  <si>
    <t>Simulação e Treinamento</t>
  </si>
  <si>
    <t>Validação de Ambiente</t>
  </si>
  <si>
    <t>Go Live</t>
  </si>
  <si>
    <t>Acomp. Go Live</t>
  </si>
  <si>
    <t>Pós-produção</t>
  </si>
  <si>
    <t>Módulo</t>
  </si>
  <si>
    <t>Funcionalidade Mãe</t>
  </si>
  <si>
    <t>Contratado?</t>
  </si>
  <si>
    <t>Funcionalidade Filha</t>
  </si>
  <si>
    <t>Tipo de funcionalidade</t>
  </si>
  <si>
    <t>Cadastros Fundamentais</t>
  </si>
  <si>
    <t>Empresa/Filial</t>
  </si>
  <si>
    <t>Obrigatório</t>
  </si>
  <si>
    <t>Grupo Empresarial</t>
  </si>
  <si>
    <t>Unidade Federativa</t>
  </si>
  <si>
    <t>País</t>
  </si>
  <si>
    <t>Cidade</t>
  </si>
  <si>
    <t>Unidade de medida</t>
  </si>
  <si>
    <t>Opcional</t>
  </si>
  <si>
    <t>Safra</t>
  </si>
  <si>
    <t>Cultura</t>
  </si>
  <si>
    <t>Banco/Cooperativa</t>
  </si>
  <si>
    <t>Área de Negócio</t>
  </si>
  <si>
    <t>Região</t>
  </si>
  <si>
    <t>Parceiro</t>
  </si>
  <si>
    <t xml:space="preserve">Propriedade  </t>
  </si>
  <si>
    <t>Parceiro / Pessoa Física / Pessoa Jurídica</t>
  </si>
  <si>
    <t>Times de Futebol</t>
  </si>
  <si>
    <t>Tipos de Restrições do Local do Parceiro</t>
  </si>
  <si>
    <t>Contato</t>
  </si>
  <si>
    <t>Cônjuge</t>
  </si>
  <si>
    <t>Tipo parceiro</t>
  </si>
  <si>
    <t>Classificação de Parceiro</t>
  </si>
  <si>
    <t>Notas</t>
  </si>
  <si>
    <t>Parceiro Superior</t>
  </si>
  <si>
    <t>Grupo de Compra</t>
  </si>
  <si>
    <t>Cadastro de Documentos</t>
  </si>
  <si>
    <t>Local</t>
  </si>
  <si>
    <t>Cadastro de Maquinário (Inventário de máquinas)</t>
  </si>
  <si>
    <t>Tipo Prioridade</t>
  </si>
  <si>
    <t>Lead</t>
  </si>
  <si>
    <t>Origem do Lead, Cliente e Oportunidade</t>
  </si>
  <si>
    <t>Etapas do Lead</t>
  </si>
  <si>
    <t>Tipo de Lead</t>
  </si>
  <si>
    <t>Setor do Lead</t>
  </si>
  <si>
    <t>Usuário</t>
  </si>
  <si>
    <t>Usuário x Classe / Classe x Usuário</t>
  </si>
  <si>
    <t>Usuário (Dados Gerais)</t>
  </si>
  <si>
    <t>Empresa</t>
  </si>
  <si>
    <t>Filial</t>
  </si>
  <si>
    <t>Copiar Dados de Usuário</t>
  </si>
  <si>
    <t>Produto/Classe de Produto</t>
  </si>
  <si>
    <t>Veículos</t>
  </si>
  <si>
    <t>Locais</t>
  </si>
  <si>
    <t>Viagem</t>
  </si>
  <si>
    <t>Despesa de Viagem</t>
  </si>
  <si>
    <t>Centro de Custo</t>
  </si>
  <si>
    <t>Área de Atuação</t>
  </si>
  <si>
    <t>Área Atuação - Filial</t>
  </si>
  <si>
    <t>Área de Atuação - Usuário</t>
  </si>
  <si>
    <t>Veículo</t>
  </si>
  <si>
    <t>Combustível</t>
  </si>
  <si>
    <t>Tipos de Veículos</t>
  </si>
  <si>
    <t>Produto</t>
  </si>
  <si>
    <t>Embalagem</t>
  </si>
  <si>
    <t>Opcional, pode ser necessário</t>
  </si>
  <si>
    <t>Classe de Produto</t>
  </si>
  <si>
    <t xml:space="preserve">Produto </t>
  </si>
  <si>
    <t>Pesquisa Produtos Concorrentes</t>
  </si>
  <si>
    <t>Validar Jane</t>
  </si>
  <si>
    <t>Categoria de Produtos</t>
  </si>
  <si>
    <t>Categorização de Produtos</t>
  </si>
  <si>
    <t>Classificação de Produtos</t>
  </si>
  <si>
    <t>Incompatibilidade de Produtos</t>
  </si>
  <si>
    <t>Linha do Produto</t>
  </si>
  <si>
    <t>Tipo de Situação do Produto</t>
  </si>
  <si>
    <t>Levantamento Produtos Concorrentes</t>
  </si>
  <si>
    <t>Fabricante/Registrante</t>
  </si>
  <si>
    <t>Indicador Contábil</t>
  </si>
  <si>
    <t>Grupo Usina</t>
  </si>
  <si>
    <t>Operadoras</t>
  </si>
  <si>
    <t>Situação Bem</t>
  </si>
  <si>
    <t>Relatórios</t>
  </si>
  <si>
    <t>Informações do Parceiro</t>
  </si>
  <si>
    <t>Dados DAP</t>
  </si>
  <si>
    <t>Exportação de Localizações</t>
  </si>
  <si>
    <t>Aniversariantes</t>
  </si>
  <si>
    <t>Relatório de Utilização de Dados</t>
  </si>
  <si>
    <t>Localização de Parceiro</t>
  </si>
  <si>
    <t>Tipo de Parceiro</t>
  </si>
  <si>
    <t>Propriedades Por Profissional</t>
  </si>
  <si>
    <t>Parceiro Por Profissional</t>
  </si>
  <si>
    <t>Clima</t>
  </si>
  <si>
    <t>Permissão de Localização do Aplicativo</t>
  </si>
  <si>
    <t>Croqui de Propriedade</t>
  </si>
  <si>
    <t>Utilização da Aplicação</t>
  </si>
  <si>
    <t>Configuradores</t>
  </si>
  <si>
    <t>Agendador de Tarefas</t>
  </si>
  <si>
    <t>PropertiesTAG</t>
  </si>
  <si>
    <t>Gestão de Consentimento LGPD</t>
  </si>
  <si>
    <t>Solicitação do Direito de Esquecimento</t>
  </si>
  <si>
    <t>Geral</t>
  </si>
  <si>
    <t>Grupo de Usuário</t>
  </si>
  <si>
    <t>Jornada de trabalho do usuário</t>
  </si>
  <si>
    <t>Configurador de Licenciamento e Licenciamento de Usuários</t>
  </si>
  <si>
    <t>Usuário Hierarquia</t>
  </si>
  <si>
    <t>Bloqueio de Acesso</t>
  </si>
  <si>
    <t>Configurador de Área de atuação - Usuário</t>
  </si>
  <si>
    <t>Painel Inicial</t>
  </si>
  <si>
    <t>Configurador de Grupo de Compra</t>
  </si>
  <si>
    <t>Croqui</t>
  </si>
  <si>
    <t>Configurador de Lead</t>
  </si>
  <si>
    <t>Configurador de Atendimentos</t>
  </si>
  <si>
    <t>Configurador de Seviços</t>
  </si>
  <si>
    <t>Configurador de Agenda</t>
  </si>
  <si>
    <t>Configurador Questionário Multifuncional</t>
  </si>
  <si>
    <t>Configurador de Classe de Serviços</t>
  </si>
  <si>
    <t>Analítico</t>
  </si>
  <si>
    <t>Análise de Atendimentos e Atividades Filial e Consultor</t>
  </si>
  <si>
    <t>Análise de Agendas da Filial e Consultor</t>
  </si>
  <si>
    <t>Mapa de Serviços/Atividades Realizadas por Filial Evento</t>
  </si>
  <si>
    <t>X</t>
  </si>
  <si>
    <t>Desempenho de Vendas nos Atendimentos</t>
  </si>
  <si>
    <t>Análise Desempenho do Consultor (Precisa da integração dos módulos [Plano Safra + Previsão de Vendas])</t>
  </si>
  <si>
    <t>Agendas Por Filial</t>
  </si>
  <si>
    <t>Agendas por Profissional</t>
  </si>
  <si>
    <t>Atendimentos por Filial X Profissional</t>
  </si>
  <si>
    <t>Localização X Atendimento</t>
  </si>
  <si>
    <t>Atividades Por Consultor</t>
  </si>
  <si>
    <t>Atividades Por Filial</t>
  </si>
  <si>
    <t>Registro de Visita</t>
  </si>
  <si>
    <t>Tipo de Atendimento​</t>
  </si>
  <si>
    <t>Relatório em Tempo Real​</t>
  </si>
  <si>
    <t>Serviço​</t>
  </si>
  <si>
    <t>Questionário (Novo)</t>
  </si>
  <si>
    <t>Classe de Serviços</t>
  </si>
  <si>
    <t>Funcionalidades</t>
  </si>
  <si>
    <t>Coleta de dados em localização em tempo real</t>
  </si>
  <si>
    <t>Agenda</t>
  </si>
  <si>
    <t>Planejamento de agenda​</t>
  </si>
  <si>
    <t>Planejamento de Serviço​</t>
  </si>
  <si>
    <t>Agenda​</t>
  </si>
  <si>
    <t>Nível Tecnologico</t>
  </si>
  <si>
    <t>Pacote de Insumos por Nível Tecnologico</t>
  </si>
  <si>
    <t>Potencial (Plano Safra)</t>
  </si>
  <si>
    <t>Plano Safra</t>
  </si>
  <si>
    <t>Replicar Plano Safra</t>
  </si>
  <si>
    <t>Reprocessar Plano Safra</t>
  </si>
  <si>
    <t>Meta de Vendas</t>
  </si>
  <si>
    <t>Configurações do Sistema – Meta de Vendas</t>
  </si>
  <si>
    <t>Tabela de Preço (Força de Vendas)</t>
  </si>
  <si>
    <t>Registro de Meta​</t>
  </si>
  <si>
    <t>Análise de Plantio Potencial Produção Agrícola</t>
  </si>
  <si>
    <t>Análise de Potencial de Plano Safra (substitui todas as PAMs)</t>
  </si>
  <si>
    <t>Metas de Vendas – visão geral por Safra</t>
  </si>
  <si>
    <t>Metas vs Pedidos em Carteira Visão Filial – Safra (Precisa da integração da tabela [faturamentomensal])</t>
  </si>
  <si>
    <t>Metas de Vendas – Filial – Safra e Ano Metas vs Pedidos em Carteira Visão Geral – Safra (Precisa da integração da tabela [faturamentomensal])</t>
  </si>
  <si>
    <t>Analise de % SOC (Share of Customer)</t>
  </si>
  <si>
    <t>Análise Desempenho do Consultor (Precisa da integração dos módulos [Registro de Visita + Previsão de Vendas])</t>
  </si>
  <si>
    <t>Consulta de Preço e Estoque de Produto</t>
  </si>
  <si>
    <t>Configurador de consulta de preço e estoque de produtos ​</t>
  </si>
  <si>
    <t>Consulta de preço e estoque / Carrinho</t>
  </si>
  <si>
    <t>Pedido de Venda</t>
  </si>
  <si>
    <t>Exportação de Pedidos</t>
  </si>
  <si>
    <t>Copiar Pedido</t>
  </si>
  <si>
    <t>Substituição de Itens</t>
  </si>
  <si>
    <t>Acompanhamento do Pedido</t>
  </si>
  <si>
    <t>Moeda</t>
  </si>
  <si>
    <t>Tipo de Documento de Cobrança (Força de Vendas)</t>
  </si>
  <si>
    <t>Condição de Pagamento (Força de Vendas)</t>
  </si>
  <si>
    <t>Condição de Pagamento vínculo c/ Tipo Documento de Cobrança</t>
  </si>
  <si>
    <t>Tipo de Negociação (NOVO)</t>
  </si>
  <si>
    <t>Aprovação de Pedidos</t>
  </si>
  <si>
    <t>Análise de Aprovação de Pedido</t>
  </si>
  <si>
    <t>Visualizar Pedido Aprovação</t>
  </si>
  <si>
    <t>Papel Processo</t>
  </si>
  <si>
    <t>Regras para Aprovação</t>
  </si>
  <si>
    <t>Barter</t>
  </si>
  <si>
    <t>Campanha de Troca NOVA</t>
  </si>
  <si>
    <t>Impostos de Troca</t>
  </si>
  <si>
    <t>Silo / dpósito</t>
  </si>
  <si>
    <t>Modalidade de Recolhimento do FUNRURAL</t>
  </si>
  <si>
    <t>Negociação da Troca</t>
  </si>
  <si>
    <t>Estoque</t>
  </si>
  <si>
    <t>Estoque por Ciclo</t>
  </si>
  <si>
    <t>Limite de Crédito</t>
  </si>
  <si>
    <t>Limite Rotativo ou Limite por Safra ou Misto p/ Parceiro</t>
  </si>
  <si>
    <t>Titulo</t>
  </si>
  <si>
    <t>Título a receber a vencer/vendido</t>
  </si>
  <si>
    <t>Campanha de Oferta</t>
  </si>
  <si>
    <t>Campanha de Oferta de Produto</t>
  </si>
  <si>
    <t>Comissão</t>
  </si>
  <si>
    <t>Comissão Pedido de Venda</t>
  </si>
  <si>
    <t>Tabela de Comissão</t>
  </si>
  <si>
    <t>Cota</t>
  </si>
  <si>
    <t>Configurador de Cota / Cadastro de Cota</t>
  </si>
  <si>
    <t>Regra de desconto</t>
  </si>
  <si>
    <t>Regras de Desconto</t>
  </si>
  <si>
    <t>Escoamento de Produtos</t>
  </si>
  <si>
    <t>Cancelar Escoamento de Produtos</t>
  </si>
  <si>
    <t>Frete</t>
  </si>
  <si>
    <t>Distância entre Filial e Cidade</t>
  </si>
  <si>
    <t>Distância entre Local e Filial</t>
  </si>
  <si>
    <t>Tabela Preço Frete</t>
  </si>
  <si>
    <t>Venda de Máquinas</t>
  </si>
  <si>
    <t>Visualizar pedido avaliação máquina usada</t>
  </si>
  <si>
    <t>Aprovação de Avaliação de Máquina Usada</t>
  </si>
  <si>
    <t>Avaliação de máquina usada</t>
  </si>
  <si>
    <t>Configurador de Avaliação de Máquinas</t>
  </si>
  <si>
    <t>Cadastro de Itens de Avaliação</t>
  </si>
  <si>
    <t>Ordem de Carregamento</t>
  </si>
  <si>
    <t>Configurador e Cadastro de Ordem de Carregamento</t>
  </si>
  <si>
    <t>Cadastros Básicos</t>
  </si>
  <si>
    <t>Tabela de Câmbio (Conversor de Moedas)</t>
  </si>
  <si>
    <t>Exceções das Condições de Pagamento</t>
  </si>
  <si>
    <t>Avalista / Avalista Avulso</t>
  </si>
  <si>
    <t>Histórico da Tabela de Preço (Preço padrão e projeção)</t>
  </si>
  <si>
    <t>Análise de Margem de Pedidos de Vendas – Por Período</t>
  </si>
  <si>
    <t>Força de Vendas</t>
  </si>
  <si>
    <t>Configurador de ICMS</t>
  </si>
  <si>
    <t>Configurador de Viagem</t>
  </si>
  <si>
    <t>Aprovação Viagem</t>
  </si>
  <si>
    <t>Aprovação Viagem / Tipo Aprovador</t>
  </si>
  <si>
    <t>Despesas</t>
  </si>
  <si>
    <t>Exceção de Despesa</t>
  </si>
  <si>
    <t>Média de Despesa</t>
  </si>
  <si>
    <t>Tipo Viagem</t>
  </si>
  <si>
    <t>Despeas de Viagem</t>
  </si>
  <si>
    <t>Viagens Exportadas</t>
  </si>
  <si>
    <t>Viagens por Profissional</t>
  </si>
  <si>
    <t>Anexos das Despesas de Serviços da Lei do Bem</t>
  </si>
  <si>
    <t>Comparativo KM/Custo Viagem</t>
  </si>
  <si>
    <t>Despesas das Viagens com Anexos</t>
  </si>
  <si>
    <t>Despesas de Serviços da Lei do Bem</t>
  </si>
  <si>
    <t>Análitico</t>
  </si>
  <si>
    <t>Acompanhamento de viagens dos Consultores</t>
  </si>
  <si>
    <t>Gestão de Frota de Veículos e Despesas de Viagens</t>
  </si>
  <si>
    <t>Combustivel</t>
  </si>
  <si>
    <t>Exportar Viagens Aprovadas</t>
  </si>
  <si>
    <t>Atendimentos</t>
  </si>
  <si>
    <t>Resumo</t>
  </si>
  <si>
    <t>Perfil Potencial Econômico</t>
  </si>
  <si>
    <t>Perfil Comportamento de Compras</t>
  </si>
  <si>
    <t>Questionário Multifuncional​ (Segmentação)</t>
  </si>
  <si>
    <t>Configurador</t>
  </si>
  <si>
    <t>Configurador de Segmentação</t>
  </si>
  <si>
    <t>Segmentação</t>
  </si>
  <si>
    <t>Regras de Aprovação</t>
  </si>
  <si>
    <t>Categoria de Crédito</t>
  </si>
  <si>
    <t>Modalidade de Financiamento</t>
  </si>
  <si>
    <t>Configurador Proposta de Crédito</t>
  </si>
  <si>
    <t>Proposta de Crédito</t>
  </si>
  <si>
    <t>Aprovação de Proposta de Crédito</t>
  </si>
  <si>
    <t>Tabela de Preço</t>
  </si>
  <si>
    <t>Previsão de Vendas</t>
  </si>
  <si>
    <t>Configurador Previsão de Venda</t>
  </si>
  <si>
    <t>Previsão de Venda</t>
  </si>
  <si>
    <t>Previsão de Vendas por Safra</t>
  </si>
  <si>
    <t>Análise Desempenho do Consultor (Precisa da integração dos  módulos [Registro de Visita +Plano Safra])</t>
  </si>
  <si>
    <t>Histórico de Alteração de Previsão de Vendas</t>
  </si>
  <si>
    <t>Histórico de Previsão de Vendas</t>
  </si>
  <si>
    <t>Tipo de Ordem de Serviço</t>
  </si>
  <si>
    <t>Tipo de Prioridade</t>
  </si>
  <si>
    <t>Cadastro de Mecânico e Auxiliar</t>
  </si>
  <si>
    <t>Serviços</t>
  </si>
  <si>
    <t>Pacote de Serviços e Produtos Mecânicos</t>
  </si>
  <si>
    <t>Configurador de Ordem de Serviços</t>
  </si>
  <si>
    <t>Ordem de Serviço</t>
  </si>
  <si>
    <t>Acompanhamento de Ordem de Serviço</t>
  </si>
  <si>
    <t>Termômetro</t>
  </si>
  <si>
    <t>Probalidade de Fechamento</t>
  </si>
  <si>
    <t>Motivo de Não Fechamento</t>
  </si>
  <si>
    <t>Motivo de Compra / Objeção</t>
  </si>
  <si>
    <t xml:space="preserve">Funil </t>
  </si>
  <si>
    <t>Oportunidade - Configurador de Gestão de Oportunidades</t>
  </si>
  <si>
    <t>Config. Sistema - Gestão de Oportunidades</t>
  </si>
  <si>
    <t>Configurador de Obrigatoriedade por Etapa</t>
  </si>
  <si>
    <t>Oportunidades</t>
  </si>
  <si>
    <t>Oportunidades - Migrar</t>
  </si>
  <si>
    <t>Proposta Comercial</t>
  </si>
  <si>
    <t>Gestão de Oportunidades por Vendedor</t>
  </si>
  <si>
    <t>Tabela Dinâmica Oportunidade</t>
  </si>
  <si>
    <t>CRM - MM - Análise de Vendas</t>
  </si>
  <si>
    <t>Acompanhamento de Vendas Por Filial (Por período e safra)</t>
  </si>
  <si>
    <t>Acompanhamento de Vendas Por Vendedor (Por período e safra)</t>
  </si>
  <si>
    <t>Acompanhamento de Vendas Visão Organizacional (Por período e safra)</t>
  </si>
  <si>
    <t>Mix de Cliente e Produto (Por período e safra)</t>
  </si>
  <si>
    <t>Análise da Evolução de Vendas (Por safra)</t>
  </si>
  <si>
    <t>Tipo Operação Nota Fiscal</t>
  </si>
  <si>
    <t>Tipo Exceção de Pedido em Carteira</t>
  </si>
  <si>
    <t>Vendas por Filial</t>
  </si>
  <si>
    <t>Pedidos em Carteira</t>
  </si>
  <si>
    <t>CRM - MM - Potencial de Máquinas</t>
  </si>
  <si>
    <t>Índice Tecnológico de Máquinas</t>
  </si>
  <si>
    <t>Aplicação do equipamento</t>
  </si>
  <si>
    <t>Configurador de Avaliação de Máquina Usada</t>
  </si>
  <si>
    <t>Configurador de Potencial de Serviços e Peças</t>
  </si>
  <si>
    <t>Informações de Maquinários</t>
  </si>
  <si>
    <t>Inventário de Máquinas</t>
  </si>
  <si>
    <t>Máquinas á venda</t>
  </si>
  <si>
    <t>Potencial por Grupo de Equipamento</t>
  </si>
  <si>
    <t>Levantamento Inventário de Máquinas</t>
  </si>
  <si>
    <t>Avaliação de Máquina Usada</t>
  </si>
  <si>
    <t>Potencial de Máquinas</t>
  </si>
  <si>
    <t>Maquinário</t>
  </si>
  <si>
    <t>Potencial de Serviços e Peças</t>
  </si>
  <si>
    <t>Potencial de Serviços e Peças Agenda</t>
  </si>
  <si>
    <t>Inventário de Máquinas - Carteira Consultor</t>
  </si>
  <si>
    <t>Inventário de Máquinas Por Estado - Carteira Consultor</t>
  </si>
  <si>
    <t>Inventário de Máquinas por Cidade - Carteira Consultor</t>
  </si>
  <si>
    <t>Potencial de Mercado e Potencial Mapeado de Maquinário - Carteira da Região x Filial</t>
  </si>
  <si>
    <t>Tipo de Solicitação</t>
  </si>
  <si>
    <t>Origem da Solicitação</t>
  </si>
  <si>
    <t>Configurador de Solicitações</t>
  </si>
  <si>
    <t>Solicitação</t>
  </si>
  <si>
    <t>Chamados</t>
  </si>
  <si>
    <t>Análise</t>
  </si>
  <si>
    <t>Anexo</t>
  </si>
  <si>
    <t>Encerrar Solicitação</t>
  </si>
  <si>
    <t>Feedback</t>
  </si>
  <si>
    <t>Histórico</t>
  </si>
  <si>
    <t>Solicitação Seguidores</t>
  </si>
  <si>
    <t>tipo de negociação</t>
  </si>
  <si>
    <t>configurador de tipo de negociação</t>
  </si>
  <si>
    <t>Configurador geral de pedido</t>
  </si>
  <si>
    <t>Campanha de troca</t>
  </si>
  <si>
    <t>Campanha de oferta</t>
  </si>
  <si>
    <t>Avalista</t>
  </si>
  <si>
    <t>Acompanhamento do pedido;</t>
  </si>
  <si>
    <t>Limite de crédito</t>
  </si>
  <si>
    <t>tipo de documento de cobrança</t>
  </si>
  <si>
    <t>Configuração AFV Manager</t>
  </si>
  <si>
    <t>poderá ser reduzido</t>
  </si>
  <si>
    <t>Cadastro de impostos de troca</t>
  </si>
  <si>
    <t>Configurador de margem</t>
  </si>
  <si>
    <t>Semáforo</t>
  </si>
  <si>
    <t>Exportação de pedido</t>
  </si>
  <si>
    <t>Conversor de moedas</t>
  </si>
  <si>
    <t>Regra de aprovação de pedido</t>
  </si>
  <si>
    <t>Cadastro de impostos ICMS</t>
  </si>
  <si>
    <t>Configuração de usuário</t>
  </si>
  <si>
    <t>Consulta de preço e estoque</t>
  </si>
  <si>
    <t>Títulos</t>
  </si>
  <si>
    <t>Substituição de itens</t>
  </si>
  <si>
    <t>não será mais preciso fazer com o Aliare Integra, tendo em vista que esse recurso é permitido fazer no AGB</t>
  </si>
  <si>
    <t>Preço Exceção</t>
  </si>
  <si>
    <t>Fluxos</t>
  </si>
  <si>
    <t>Tabela</t>
  </si>
  <si>
    <t>Tipo</t>
  </si>
  <si>
    <t>Cofig. Integração AGB</t>
  </si>
  <si>
    <t>Teste interno, carga inicial</t>
  </si>
  <si>
    <t>Apoio a Validação / homologação e produção AGB</t>
  </si>
  <si>
    <t>Validação / homologação AGB</t>
  </si>
  <si>
    <t>CRM - MM - Planejamento da Consultoria Agronômica</t>
  </si>
  <si>
    <t>CRM - MM - Campos Demonstrativos</t>
  </si>
  <si>
    <t>CRM - MM - Consulta Preço e Estoque à Campo</t>
  </si>
  <si>
    <t>CRM - MM - MarketShare</t>
  </si>
  <si>
    <t>CRM - MM - Escoamento de produtos</t>
  </si>
  <si>
    <t>CRM - MM - Questionário de Pós Venda</t>
  </si>
  <si>
    <t>CRM - MM - Levantamento de Rebanho</t>
  </si>
  <si>
    <t>CRM - MM - Gestão de Eventos</t>
  </si>
  <si>
    <t>Aliare 
Integra</t>
  </si>
  <si>
    <t>CeS</t>
  </si>
  <si>
    <t>Todos os cadastros básicos</t>
  </si>
  <si>
    <t>**Sempre</t>
  </si>
  <si>
    <t>Todas as movimentações financeiras</t>
  </si>
  <si>
    <t>Todos os fluxos de força de venda</t>
  </si>
  <si>
    <t>Cadastro básico - País, Estado e Cidade</t>
  </si>
  <si>
    <t>1.01 País</t>
  </si>
  <si>
    <t>1.02 Unidade Federativa</t>
  </si>
  <si>
    <t>1.03 Cidade</t>
  </si>
  <si>
    <t>Cadastro básico - Unidade de medida</t>
  </si>
  <si>
    <t>1.04 Unidade de Medida</t>
  </si>
  <si>
    <t>Cadastro básico - Parceiro - Parte 1</t>
  </si>
  <si>
    <t>1.05 Parceiro</t>
  </si>
  <si>
    <t>Cadastro básico - Parceiro - Parte 2</t>
  </si>
  <si>
    <t>Cadastro básico - Local - Entidade Empresa</t>
  </si>
  <si>
    <t>1.06 Local</t>
  </si>
  <si>
    <t>Cadastro básico - Local - Entidade Parceiro</t>
  </si>
  <si>
    <t>Cadastro básico - Local - Entidade Propriedade</t>
  </si>
  <si>
    <t>Cadastro básico – Empresa</t>
  </si>
  <si>
    <t>1.14 Empresa</t>
  </si>
  <si>
    <t>Cadastro básico - Registrante</t>
  </si>
  <si>
    <t>1.15.1 Registrante / Fabricante</t>
  </si>
  <si>
    <t>*Módulo</t>
  </si>
  <si>
    <t>Cadastro básico - Fornecedor</t>
  </si>
  <si>
    <t>1.15.2 Fornecedor</t>
  </si>
  <si>
    <t>Cadastro básico - Filial</t>
  </si>
  <si>
    <t>1.15 Filial</t>
  </si>
  <si>
    <t>Cadastro básico - Pessoa física e jurídica - Fluxo 1</t>
  </si>
  <si>
    <t>1.16 Pessoa Física e 1.17 Pessoa Jurídica</t>
  </si>
  <si>
    <t>Cadastro básico - Pessoa física - Fluxo 2</t>
  </si>
  <si>
    <t>Cadastro básico - Pessoa jurídica - Fluxo 3</t>
  </si>
  <si>
    <t>Cadastro básico - Produto e produto classe</t>
  </si>
  <si>
    <t>1.08 Produto e 1.10 Produto Classe</t>
  </si>
  <si>
    <t>Cadastro básico - Classe de produto</t>
  </si>
  <si>
    <t>1.09 Classe de Produto</t>
  </si>
  <si>
    <t>Movimentação financeira - Local nota fiscal</t>
  </si>
  <si>
    <t>3.1 Local Nota Fiscal</t>
  </si>
  <si>
    <t>Movimentação financeira - Faturamento mensal - Parte 1</t>
  </si>
  <si>
    <t>3.2 Pedidos em Carteira (Fat. Mensal)</t>
  </si>
  <si>
    <t>Movimentação financeira - Faturamento mensal - Parte 2</t>
  </si>
  <si>
    <t>Cadastro básico - Usuários</t>
  </si>
  <si>
    <t>1.11 Usuário</t>
  </si>
  <si>
    <t>*Qualifica</t>
  </si>
  <si>
    <t>Cadastro básico - Usuário empresa, filial e parceiro</t>
  </si>
  <si>
    <t>1.28 Usuário Filial</t>
  </si>
  <si>
    <t>1.29 Usuário Empresa</t>
  </si>
  <si>
    <t>1.28 Usuário Parceiro</t>
  </si>
  <si>
    <t>1.27 Usuário Produto</t>
  </si>
  <si>
    <t>Cadastro básico - Cultura</t>
  </si>
  <si>
    <t>1.12 Cultura</t>
  </si>
  <si>
    <t>Cadastro básico - Safra</t>
  </si>
  <si>
    <t xml:space="preserve"> 1.13 Safra</t>
  </si>
  <si>
    <t>Cadastro básico - Região</t>
  </si>
  <si>
    <t>1.19 Região</t>
  </si>
  <si>
    <t>Cadastro básico - Região local</t>
  </si>
  <si>
    <t>1.20 Região Local</t>
  </si>
  <si>
    <t>Cadastro básico - Usuário região</t>
  </si>
  <si>
    <t>1.21 Usuário Região</t>
  </si>
  <si>
    <t>Cadastro básico - Propriedade</t>
  </si>
  <si>
    <t>1.22 Propriedade</t>
  </si>
  <si>
    <t>Cadastro básico - Vínculo imobiliário</t>
  </si>
  <si>
    <t>1.23 Vin. Imob.</t>
  </si>
  <si>
    <t>Cadastro básico - Posse</t>
  </si>
  <si>
    <t>1.24 Posse</t>
  </si>
  <si>
    <t>Cadastro básico - Arrendamento</t>
  </si>
  <si>
    <t>1.25 Arrend.</t>
  </si>
  <si>
    <t>1.26 Região Filial</t>
  </si>
  <si>
    <t>Cadastro básico - Tipo parceiro</t>
  </si>
  <si>
    <t>1.33 Tipo Parceiro</t>
  </si>
  <si>
    <t>Cadastro básico - Parceiro tipo parceiro</t>
  </si>
  <si>
    <t>1.34 Parceiro Tipo Parceiro</t>
  </si>
  <si>
    <t>Cadastro básico - Estoque</t>
  </si>
  <si>
    <t>3.4 Estoque</t>
  </si>
  <si>
    <t>3.10 Carga (Romaneios)</t>
  </si>
  <si>
    <t>Cadastro básico - Veiculo</t>
  </si>
  <si>
    <t>1.29 Veículo</t>
  </si>
  <si>
    <t>1.30 Centro de Custo</t>
  </si>
  <si>
    <t>1.31 Usuário Centro de Custo</t>
  </si>
  <si>
    <t>1.32 Despesa</t>
  </si>
  <si>
    <t>4.3 Exportação de Viagem</t>
  </si>
  <si>
    <t xml:space="preserve">4.4 Rastreador Veículo </t>
  </si>
  <si>
    <t>Cadastro básico - Silo</t>
  </si>
  <si>
    <t>1.37 Silo</t>
  </si>
  <si>
    <t>1.39 Preço Produto</t>
  </si>
  <si>
    <t>1.60 Segmentação</t>
  </si>
  <si>
    <t>3.3 Metas de Venda</t>
  </si>
  <si>
    <t>Movimentação financeira - Histórico de aquisição de produtos</t>
  </si>
  <si>
    <t>3.8 Histórico Aquisição Produtos</t>
  </si>
  <si>
    <t>3.9 Histórico Produção Entregue</t>
  </si>
  <si>
    <t>Movimentação financeira - Resumo financeiro do cliente</t>
  </si>
  <si>
    <t>3.11 PCResumoFinanceiro + 3.12 PCResumoTitulos</t>
  </si>
  <si>
    <t>Movimentação financeira - Títulos</t>
  </si>
  <si>
    <t>3.7 Títulos</t>
  </si>
  <si>
    <t>1.35 Banco</t>
  </si>
  <si>
    <t>Modalidade Recolhimento Funrural</t>
  </si>
  <si>
    <t>2.22 Modalidade Recolhimento Funrural</t>
  </si>
  <si>
    <t>Cadastro básico - Limite de crédito parceiro</t>
  </si>
  <si>
    <t>1.40 Limite Crédito Parceiro</t>
  </si>
  <si>
    <t>Pedido - PVPedidoHistoricoSituacao, PVPedidoItemHistoricoSituacao, PVPedidoItemNotaFiscal</t>
  </si>
  <si>
    <t>2.26 PVPedHistSituacao</t>
  </si>
  <si>
    <t>2.27 PVPedItemHistSituacao</t>
  </si>
  <si>
    <t>2.26 PVPedidoItemNotaFiscal</t>
  </si>
  <si>
    <t>Lançamento de pedido no AGB</t>
  </si>
  <si>
    <t>4.0 Exportação de pedido</t>
  </si>
  <si>
    <t>Lançamento de pedido barter no AGB</t>
  </si>
  <si>
    <t>4.1 Exportação de pedido barter</t>
  </si>
  <si>
    <t>Força de venda - PV Tipo documento cobrança</t>
  </si>
  <si>
    <t>2.29 PVTipoDocumentoCobranca</t>
  </si>
  <si>
    <t>Avaliado</t>
  </si>
  <si>
    <t>Força de venda - PV Tabelas de preço
Força de venda - Deleção de PVTabelaPrecoItem</t>
  </si>
  <si>
    <t>2.11 PVTabelaPrecoCondicao</t>
  </si>
  <si>
    <t>2.15 PVTabelaPrecoItem</t>
  </si>
  <si>
    <t>2.4 PVTabelaPreco</t>
  </si>
  <si>
    <t>2.16 PVTabelaPrecoItemProjecao</t>
  </si>
  <si>
    <t>2.6 PVTabelaPrecoUsuario</t>
  </si>
  <si>
    <t>2.7 PVTabelaPrecoFilial</t>
  </si>
  <si>
    <t>2.7 PVTabelaPrecoTipoParceiro</t>
  </si>
  <si>
    <t>2.7 PVTabelaPrecoSafra</t>
  </si>
  <si>
    <t>Força de venda - PV Tipo de Negociação</t>
  </si>
  <si>
    <t>2.18 PVTipoDeNegociacao</t>
  </si>
  <si>
    <t>Força de venda - PV Condição de pagamento</t>
  </si>
  <si>
    <t>2.10 PVCondicaoPagamento</t>
  </si>
  <si>
    <t>Força de venda - PV Condição de pagamento tipo documento cobrança</t>
  </si>
  <si>
    <t>2,2 PVCondicaoPagamentoTipoDocumentoCobranca</t>
  </si>
  <si>
    <t>Força de venda - Cotação PTAX</t>
  </si>
  <si>
    <t>CotacaoPTAX</t>
  </si>
  <si>
    <t>Cadastro básico - Pessoa física complementar</t>
  </si>
  <si>
    <t>PessoaFisicaComplementar</t>
  </si>
  <si>
    <t>Cadastro básico - Cônjuge</t>
  </si>
  <si>
    <t>Conjuge</t>
  </si>
  <si>
    <t>Cadastro básico - Classificação de produto</t>
  </si>
  <si>
    <t>ClassificacaoProduto</t>
  </si>
  <si>
    <t>2.17 PVCondicaoPagamentoParcela</t>
  </si>
  <si>
    <t>2.23 PVTabelaPrecoItemCondicao</t>
  </si>
  <si>
    <t>2.25 Condição de Pagamento Safra</t>
  </si>
  <si>
    <t>2.30 PVExcecaoCondicaoPagamento</t>
  </si>
  <si>
    <t>2.31 PVExcecaoCondicaoPagamentoClasseProduto</t>
  </si>
  <si>
    <t>2.32 PVExcecaoCondicaoPagamentoProduto</t>
  </si>
  <si>
    <t>2.33 TabelaDePrecoExcecaoClasseDeProduto</t>
  </si>
  <si>
    <t>2.13 PVExcecaoTabelaPreco</t>
  </si>
  <si>
    <t>2.14 PVExcecaoTabelaPrecoItem</t>
  </si>
  <si>
    <t>2.8 PVTabelaPrecoLocalFaturamento</t>
  </si>
  <si>
    <t>2.9 PVTabelaPrecoUFDestino</t>
  </si>
  <si>
    <t>2.36 PVCampanhaTrocaFilial</t>
  </si>
  <si>
    <t>2.42 PVCampanhaOferta</t>
  </si>
  <si>
    <t>4.1 Ordem de Carregamento</t>
  </si>
  <si>
    <t>4.2 Substituição de Produtos</t>
  </si>
  <si>
    <t>2.12 PVTabelaPrecoCondicaoTabelaFrete</t>
  </si>
  <si>
    <t>2.34 FaixaPrecoFrete</t>
  </si>
  <si>
    <t>2.5 PVTabelaPrecoTabelaFrete</t>
  </si>
  <si>
    <t>1.1 Tipos de Solicitação de Serviço</t>
  </si>
  <si>
    <t>1.2 Posto de Trabalho</t>
  </si>
  <si>
    <t>1.3 SS Solicitação</t>
  </si>
  <si>
    <t>1.5 SS Serviço</t>
  </si>
  <si>
    <t>1.6 Máquina</t>
  </si>
  <si>
    <t>1.7 Parceiro Máquina</t>
  </si>
  <si>
    <t>1.8 Produto Chassi</t>
  </si>
  <si>
    <t>1.9 Exportar Ordem de Serviço</t>
  </si>
  <si>
    <t>5.0 Integrar Gestão de Eventos</t>
  </si>
  <si>
    <t>Cofig. Integração ERP Terceiro</t>
  </si>
  <si>
    <t>Apoio a Validação / homologação e produção ERP Terceiro</t>
  </si>
  <si>
    <t>Validação de Dados Integrados ERP Terceiro</t>
  </si>
  <si>
    <t> </t>
  </si>
  <si>
    <t>Exportação de Despesa de Viagem</t>
  </si>
  <si>
    <t>Tipos de integração</t>
  </si>
  <si>
    <t>horas</t>
  </si>
  <si>
    <t>Estimativa de horas geral API padrão</t>
  </si>
  <si>
    <t>está sendo usada</t>
  </si>
  <si>
    <t>Estimativa de horas validação de dados API padrão</t>
  </si>
  <si>
    <t>não estamos usando</t>
  </si>
  <si>
    <t>Estimativa de horas geral API customizada</t>
  </si>
  <si>
    <t>Estimativa de horas validação de dados API customizada</t>
  </si>
  <si>
    <t>Lista de ERPs de Terceiro</t>
  </si>
  <si>
    <t xml:space="preserve">Tipos de Integração ERP </t>
  </si>
  <si>
    <t>Regra para treinamentos</t>
  </si>
  <si>
    <t>Parametro</t>
  </si>
  <si>
    <t>Nº de Consultores</t>
  </si>
  <si>
    <t>Até 24 pessoas por turma</t>
  </si>
  <si>
    <t>CIGAM</t>
  </si>
  <si>
    <t>25 ou mais usuários por turma</t>
  </si>
  <si>
    <t>DATAPAR</t>
  </si>
  <si>
    <t>Sem integração</t>
  </si>
  <si>
    <t>MICROSFOT DINAMICS</t>
  </si>
  <si>
    <t>SANKHYA</t>
  </si>
  <si>
    <t>SAP 4H</t>
  </si>
  <si>
    <t>SAP B1</t>
  </si>
  <si>
    <t>SAP R3</t>
  </si>
  <si>
    <t>TOTVS - DATASUL</t>
  </si>
  <si>
    <t>TOTVS - PROTHEUS</t>
  </si>
  <si>
    <t>TOTVS - PROTHEUS 9 &lt;</t>
  </si>
  <si>
    <t>VIASOFT</t>
  </si>
  <si>
    <t>OUTROS</t>
  </si>
  <si>
    <t>FLUXOS DE INTEGRAÇÃO</t>
  </si>
  <si>
    <t>Dividido</t>
  </si>
  <si>
    <t>Obrigatório?</t>
  </si>
  <si>
    <t>Vai Integrar? (S/N)</t>
  </si>
  <si>
    <t>TABELA</t>
  </si>
  <si>
    <t>QTD. REGISTROS PARA CARGA INICIAL DE DADOS</t>
  </si>
  <si>
    <t>Observação</t>
  </si>
  <si>
    <t>Não</t>
  </si>
  <si>
    <t>Local (Endereços)</t>
  </si>
  <si>
    <t>AGB: Soma da quantida de Parceiros e Propriedades
Simer: Quantidade de Locais
ERP Terceiros: Quantidade que virá para Local no Clover</t>
  </si>
  <si>
    <t>produto</t>
  </si>
  <si>
    <t>tabela de preço</t>
  </si>
  <si>
    <t>Cadastro básico - Empresa</t>
  </si>
  <si>
    <t>notas da empresa</t>
  </si>
  <si>
    <t>pedido em carteira</t>
  </si>
  <si>
    <t>Cadastro básico - Estoque Ciclo</t>
  </si>
  <si>
    <t xml:space="preserve"> </t>
  </si>
  <si>
    <t>titulos em aberto</t>
  </si>
  <si>
    <t>ATENÇÃO: Não atualize a planilha do Sharepoint. Baixe uma cópia em seu computador</t>
  </si>
  <si>
    <t>Cadastro básico - Limite de crédito safra</t>
  </si>
  <si>
    <t>Cadastro básico - Local (Propriedade) – Parte 1</t>
  </si>
  <si>
    <t>Sim</t>
  </si>
  <si>
    <t>SOMATÓRIA DE NÚMERO DE REGISTROS PARA CARGA INICIAL</t>
  </si>
  <si>
    <t>Fator de Complexidade Agrupada</t>
  </si>
  <si>
    <t>Regra</t>
  </si>
  <si>
    <t>Cadastros básicos e força de vendas</t>
  </si>
  <si>
    <t>Se &lt; 10k então *1, se entre 10k e 50k então *1,1, se entre 50k e 150k então *1,2, se &gt; 150k então  CONSULTAR TIME DE INTEGRAÇÃO</t>
  </si>
  <si>
    <t>Movimentação  financeira</t>
  </si>
  <si>
    <t>Se &lt; 50k então *1, se entre 50k e 150k então *1,1, se entre 150k e 500k então *1,2, se &gt; 500k então CONSULTAR TIME DE INTEGRAÇÃO</t>
  </si>
  <si>
    <t>Cadastro básico - Parceiro, Local (Empresa), Filial e Local (Parceiro) – Parte 1</t>
  </si>
  <si>
    <t>Cadastro básico - Propriedade, Vínculo imobiliário, Arrendamento e Posse – Parte 1</t>
  </si>
  <si>
    <t>Cadastro básico – Atualizar dados das propriedades no ERP</t>
  </si>
  <si>
    <t>Cadastro básico - Região local - Vínculo vendedor &lt;&gt; cliente</t>
  </si>
  <si>
    <t>Cadastro básico - Usuário empresa, Usuario filial e Usuario parceiro</t>
  </si>
  <si>
    <t>Cadastro básico - Modalidade Recolhimento Funrural</t>
  </si>
  <si>
    <t>Cadastro básico - PV Receituario Agronomico</t>
  </si>
  <si>
    <t>Força de venda - Encerrar Vigência de PVTabelaPrecoItem</t>
  </si>
  <si>
    <t>Força de venda - PV Tabelas de preço</t>
  </si>
  <si>
    <t xml:space="preserve">Movimentação financeira - Faturamento mensal </t>
  </si>
  <si>
    <t>Movimentação financeira - Local nota fiscal - Desfazimento de entrega futura</t>
  </si>
  <si>
    <t>Movimentação financeira - Local nota fiscal - Notas da empresa</t>
  </si>
  <si>
    <t>Movimentação financeira - Local nota fiscal - Notas de terceiro</t>
  </si>
  <si>
    <t>Exportação de pedidos - Lançamento de pedido no AGB</t>
  </si>
  <si>
    <t>Exportação de pedidos - PVPedidoHistoricoSituacao, PVPedidoItemHistoricoSituacao, PVPedidoItemNotaFiscal</t>
  </si>
  <si>
    <t>Exportação de pedidos - Lançamento de pedido Barter</t>
  </si>
  <si>
    <t>CATEGORIA</t>
  </si>
  <si>
    <t>FLUXO</t>
  </si>
  <si>
    <t>VARIÁVEL</t>
  </si>
  <si>
    <t>COMO PREENCHER?</t>
  </si>
  <si>
    <t>OBRIGATÓRIO?</t>
  </si>
  <si>
    <t>VALOR</t>
  </si>
  <si>
    <t>Cadastro básico</t>
  </si>
  <si>
    <t>Parceiro, Local (Empresa), Filial e Local (Parceiro)</t>
  </si>
  <si>
    <t>Integrar parceiro superior</t>
  </si>
  <si>
    <t>Informar “S” para integrar e “N” para não integrar, precisa ser validado com o cliente, pois isso afeta alguns processos dentro do clover.</t>
  </si>
  <si>
    <t>Não, se não preenche, será considerado a opção "NÃO".</t>
  </si>
  <si>
    <t>Considerar o bloqueio por crédito</t>
  </si>
  <si>
    <t>Informar "S" para bloquear os parceiros pelo crédito e "N" para não bloquear, mas precisa validar o processo do cliente, isso afeta na hora de emitir um pedido no Clover, caso ele esteja bloqueado.</t>
  </si>
  <si>
    <t>Enviar os fornecedores</t>
  </si>
  <si>
    <t>Informar "S" para enviar os parceiros com a flag de fornecedor para o Clover.</t>
  </si>
  <si>
    <t>Categoria de fornecedores validos</t>
  </si>
  <si>
    <t>Caso seja escolhido enviar os parceiros fornecedores deverá ser informado se são todas as categorias de fornecedores validos os se serão todos.</t>
  </si>
  <si>
    <t>Usar endereço de cobrança para o parceiro como local</t>
  </si>
  <si>
    <t>Informar "S" para enviar o endereço de cobrança no cadastro de local.</t>
  </si>
  <si>
    <t>Matrizes e filiais válidas</t>
  </si>
  <si>
    <r>
      <rPr>
        <sz val="12"/>
        <color rgb="FF000000"/>
        <rFont val="Calibri"/>
      </rPr>
      <t xml:space="preserve">Informar código das empresas (matrizes e filiais) que devem ser consideradas na integração.
</t>
    </r>
    <r>
      <rPr>
        <b/>
        <sz val="12"/>
        <color rgb="FF000000"/>
        <rFont val="Calibri"/>
      </rPr>
      <t>Se informar esse filtro, não deve ser informado o filtro abaixo com sentido contrário (Matrizes e filiais inválidas).
Nesse formato, se o cliente cadastrar uma nova empresa, o cadastro da filial e seus respectivos parceiros e locais não serão levados automaticamente ao Clover, sendo necessário solicitar carga de dados via ticket.</t>
    </r>
  </si>
  <si>
    <t>Não, se não preenche, todos serão considerados.</t>
  </si>
  <si>
    <t>Matrizes e filiais inválidas</t>
  </si>
  <si>
    <r>
      <rPr>
        <sz val="12"/>
        <color rgb="FF000000"/>
        <rFont val="Calibri"/>
      </rPr>
      <t xml:space="preserve">Informar código das empresas (matrizes e filiais) que devem ser desconsideradas da integração.
</t>
    </r>
    <r>
      <rPr>
        <b/>
        <sz val="12"/>
        <color rgb="FF000000"/>
        <rFont val="Calibri"/>
      </rPr>
      <t xml:space="preserve">Se informar esse filtro, não deve ser informado o filtro acima com sentido contrário (Matrizes e filiais válidas).
</t>
    </r>
    <r>
      <rPr>
        <sz val="12"/>
        <color rgb="FF000000"/>
        <rFont val="Calibri"/>
      </rPr>
      <t>Criamos esta possibilidade de 'empresas para desconsiderar' a fim de</t>
    </r>
    <r>
      <rPr>
        <b/>
        <sz val="12"/>
        <color rgb="FF000000"/>
        <rFont val="Calibri"/>
      </rPr>
      <t xml:space="preserve"> tratar automaticamente o caso onde o cliente inclui uma nova empresa e deseja levar os dados automaticamente para o Clover.</t>
    </r>
  </si>
  <si>
    <t>Matriz principal</t>
  </si>
  <si>
    <t>Informar o código de uma única matriz principal.</t>
  </si>
  <si>
    <t>Matrizes válidas</t>
  </si>
  <si>
    <t>Informar o código das matrizes válidas para integração. No CLOVER CRM estas matrizes serão consideradas como EMPRESA</t>
  </si>
  <si>
    <t>Classe de produto</t>
  </si>
  <si>
    <t>Grupos de produto válidos</t>
  </si>
  <si>
    <t>Informar somente os códigos de grupos de produto escolhidos pelo cliente.</t>
  </si>
  <si>
    <t xml:space="preserve">SubGrupos válidos </t>
  </si>
  <si>
    <t>Informar somente os códigos dos grupos concatenados com os códigos de subgrupos escolhidos pelo cliente. Exemplo ‘1#1’ ou ‘1#*’ para todos os subgrupos do grupo selecionado.</t>
  </si>
  <si>
    <t>Utiliza principio ativo ou classificação produto como produto superior?</t>
  </si>
  <si>
    <t>Informar "P" caso o cliente trabalhe com produto superior, e será cadastrado uma classe de produto fixo chamada "Principio Ativo"
Informar "C" caso o cliente trabalhe com produto superior, e será cadastrado uma classe de produto fixo chamada "Classificação Produto"
Informar "N" caso o cliente não trabalhe com nenhuma das opções.</t>
  </si>
  <si>
    <t>Não, se não preenche, será considerado "N"</t>
  </si>
  <si>
    <t>Grupos de usuário válidos</t>
  </si>
  <si>
    <t>Informar somente os códigos de grupos de usuário escolhidos pelo cliente.</t>
  </si>
  <si>
    <t>Cargos válidos</t>
  </si>
  <si>
    <t>Informar somente os códigos de cargos de usuário escolhidos pelo cliente.</t>
  </si>
  <si>
    <t>Departamentos válidos</t>
  </si>
  <si>
    <t>Informar somente os códigos de departamentos de usuário escolhidos pelo cliente.</t>
  </si>
  <si>
    <t>Senha Padrão</t>
  </si>
  <si>
    <t>Informar a senha padrão utilizada pelo cliente em novos usuários do Clover.</t>
  </si>
  <si>
    <t>Não, se não preenche, será definido a senha 123456.</t>
  </si>
  <si>
    <t>Considerar apenas vendedores</t>
  </si>
  <si>
    <t>Informar se deve ser considerado apenas vendedores como usuários.</t>
  </si>
  <si>
    <t>Categoria de vendedores válidos</t>
  </si>
  <si>
    <t>Informar somente os códigos de categoria de vendedores escolhidos pelo cliente.</t>
  </si>
  <si>
    <t>Utiliza autenticação WSO2?</t>
  </si>
  <si>
    <t>Informar se o cliente utiliza autenticação WSO2, S ou N.</t>
  </si>
  <si>
    <t>Considera estoque por ciclo</t>
  </si>
  <si>
    <t>Informar se o cliente utiliza estoque por ciclo, SIM ou NÃO.</t>
  </si>
  <si>
    <t>Considerar fisicoDisponivelFaturamento</t>
  </si>
  <si>
    <t>Informar se o cliente utiliza o estoque fisico por "fisicoDisponivelFaturamento", SIM ou NÃO.</t>
  </si>
  <si>
    <t>Culturas válidas</t>
  </si>
  <si>
    <t>Informar somente os códigos das culturas escolhidas pelo cliente.</t>
  </si>
  <si>
    <t>Culturas de hortifrúti válidas</t>
  </si>
  <si>
    <t>Informar somente os códigos das culturas de hortifruti válidas pra integração.</t>
  </si>
  <si>
    <t>Somente se o cliente trabalha com hortifrúti.</t>
  </si>
  <si>
    <t>Data de ínicio do ciclo</t>
  </si>
  <si>
    <t>Informar uma data de corte para integração dos ciclos.</t>
  </si>
  <si>
    <t>Tipo Parceiro</t>
  </si>
  <si>
    <t>Categorias de clientes válidas</t>
  </si>
  <si>
    <t>Informar o código das categorias dos clientes que são válidas para integração.</t>
  </si>
  <si>
    <t>Silo</t>
  </si>
  <si>
    <t>Depósitos válidos</t>
  </si>
  <si>
    <t>Informar o código dos depósitos válidos para integração.</t>
  </si>
  <si>
    <t>PREENCHER APENAS SE O CLIENTE CONTEMPLA FLUXO DE SILO</t>
  </si>
  <si>
    <t>Empresas válidas</t>
  </si>
  <si>
    <t>Caso atípico onde o cliente deseja integrar região (cadastro de pessoa no ERP) de empresas específicas. Basta informar o código das empresas separado por vírgula.</t>
  </si>
  <si>
    <t>Região Local</t>
  </si>
  <si>
    <t>Considerar Segundo Vendedor</t>
  </si>
  <si>
    <t>Informar se o cliente deseja considerar o Segundo Vendedor vinculado à Propriedade para integrar na carteira.</t>
  </si>
  <si>
    <t>Propriedades, Vinc. Imobiliário, Posse e Arrendamento</t>
  </si>
  <si>
    <t>Considerar áreas zeradas (Valor padrão igual a 1)</t>
  </si>
  <si>
    <t>Informar se o cliente deseja enviar as propriedades com áera igual a 0, visto que o Clover não aceita o valor zero na área o campo será preenchido como 1.</t>
  </si>
  <si>
    <t>Não, se não preenchido será considerado a opção "Não".</t>
  </si>
  <si>
    <t>Limite de crédido por parceiro</t>
  </si>
  <si>
    <t>Considera Limite Condicionado (Limite + Limite Garantia)</t>
  </si>
  <si>
    <t>Informar se o cliente quer que some o valor do limite de garantia no valor do limite principal, caso não marque será enviado como 'N'.</t>
  </si>
  <si>
    <t>Força de Venda</t>
  </si>
  <si>
    <t>PV Tipo Documento Cobrança</t>
  </si>
  <si>
    <t>Formas de pagamento válidas</t>
  </si>
  <si>
    <t>Informar somente os códigos das formas de pagamento escolhidas pelo cliente.
O AGB possui as seguintes formas de pagamentos fixas:
01 – Dinheiro | 02 - Cartão de Crédito | 03 – Duplicata | 04 – Cheque | 05 - Dinheiro / Cartão de Crédito | 06 - Dinheiro / Cheque | 07 - Dinheiro / Duplicata | 08 - Cheque / Duplicata | 09 – Carnê | 10 – Boleto | 11 - Cartão de Débito | 99 - Outros</t>
  </si>
  <si>
    <t>PV Tabela de preço</t>
  </si>
  <si>
    <t>Indexadores válidos</t>
  </si>
  <si>
    <t>Informar somente os códigos dos indexadores escolhidos pelo cliente.</t>
  </si>
  <si>
    <t>Tabelas válidas</t>
  </si>
  <si>
    <t>Informar somente os códigos das tabelas de preço escolhidas pelo cliente.</t>
  </si>
  <si>
    <t>Utiliza validade da tabela como vencimento limite da item projeção?</t>
  </si>
  <si>
    <t>Informar "S" para considerar a validade da tabela de preço na vencimento data limite do item projeção do Clover.
Informar "N" para o método padrão, que considera vencimento máximo ou vencimento data limite da base fixa por grupo.</t>
  </si>
  <si>
    <t>Código do tipo de desconto padrão (Clover)</t>
  </si>
  <si>
    <t>Informar o código do tipo de desconto padrão para as tabelas de preço no Clover.</t>
  </si>
  <si>
    <t>Não, se não preenche, será enviado "1" padrão.</t>
  </si>
  <si>
    <t>PV Condição Pagamento</t>
  </si>
  <si>
    <t>Condições válidas</t>
  </si>
  <si>
    <t>Informar os códigos das condições escolhidas pelo cliente.</t>
  </si>
  <si>
    <t>Ajustar configurações para cálculo da data base?</t>
  </si>
  <si>
    <t>Informar "S" caso precise configurar o calculo da data base da condição via integração</t>
  </si>
  <si>
    <t>Não, se não preenche, será considerado a opção "SIM".</t>
  </si>
  <si>
    <t>Considera mais de um deposito</t>
  </si>
  <si>
    <t>Informar se o cliente usa depósitos diferentes por filial, caso seja valido informar como “S”, 
E informar quais são os depósitos por filial, lembrando que tem que ser apenas 1 por filial, pois será tratado em uma equivalência esses dados.</t>
  </si>
  <si>
    <t>Utiliza série por tipo operação?</t>
  </si>
  <si>
    <t>Informar "S" se será feito o de/para de série por operação</t>
  </si>
  <si>
    <t>Operações por série</t>
  </si>
  <si>
    <t>Caso tenha o de/para de operação e série, informar a operação e a série separada por "#". EX: "20#1"</t>
  </si>
  <si>
    <t>Será enviado as datas detalhadas?</t>
  </si>
  <si>
    <t>Informar "S" para enviar as datas detalhas para a tela de calendarização do ERP.</t>
  </si>
  <si>
    <t>Será enviado o pré-financeiro?</t>
  </si>
  <si>
    <t>Informar "S" para enviar as parcelas para o pré-financeiro da tela de pedido.</t>
  </si>
  <si>
    <t>Será enviado pedidos de venda direta?</t>
  </si>
  <si>
    <t>Informar "S" para enviar o tipo do faturamento do tipo 2 (De terceiro) e o código da revenda. OBS: É preciso que seja enviado os parceiros fornecedores para tabela de parceiro, e é obriatório que o cliente vincule a região com o parceiro revenda de forma manual.</t>
  </si>
  <si>
    <t>Usar chave do parceiro vendedor vinculado ao usuário?</t>
  </si>
  <si>
    <t>Informar "S" para indicar que deve ser buscada a chave do parceiro vinculada ao usuário (usuarioparceiro).
Essa função é utilizada quando o cliente cadastra usuários manualmente no Clover. Nesses casos, o usuário não possui chaveERP. Para que seja possível enviar o código do vendedor (Pessoal no ERP), o cliente deve manter o vínculo do usuarioparceiro com o parceiro criado a partir da entidade Pessoal, que possui a chaveERP identificada pela tag "VEND#".</t>
  </si>
  <si>
    <t>Deposito padrão</t>
  </si>
  <si>
    <t>Informar o código do depósito que será utilizado para integrar os pedidos de venda no ERP.</t>
  </si>
  <si>
    <t>Utiliza valor unitário liquido da tabela de preço</t>
  </si>
  <si>
    <t>Preencher SIM ou NÃO:
SIM = Será enviado o valor unitário da tabela de preço com o desconto/acrescimo separado.
NÃO = Envia direto o valor liquido sem desconto/acrescimo.</t>
  </si>
  <si>
    <t>Movimentação Financeira</t>
  </si>
  <si>
    <t>Faturamento Mensal</t>
  </si>
  <si>
    <t>Data de corte</t>
  </si>
  <si>
    <t>Informar a data de corte para considerar apenas pedidos emitidos a partir dessa data.</t>
  </si>
  <si>
    <t>PREENCHER APENAS SE O CLIENTE CONTEMPLA FLUXOS DE MOVIMENTAÇÃO FINANCEIRA</t>
  </si>
  <si>
    <t>Indexador do dólar</t>
  </si>
  <si>
    <t>Informar o código do indexador de dólar.</t>
  </si>
  <si>
    <t>Operações</t>
  </si>
  <si>
    <t>Informar código das operações que devem ser consideradas.</t>
  </si>
  <si>
    <t>Local Nota Fiscal (notas da empresa)</t>
  </si>
  <si>
    <t>Informar a data de corte para considerar apenas notas emitidas a partir dessa data.</t>
  </si>
  <si>
    <t>Considerar desconto da oferta no valor total?</t>
  </si>
  <si>
    <t>Preencher SIM ou NÃO:
SIM = Será enviado o valor da nota considerando o desconto o desconto da oferta.
NÃO = Envia direto o valor sem considerar o desconto da oferta.</t>
  </si>
  <si>
    <t>Código param. função do tipo de operação</t>
  </si>
  <si>
    <t>Informar o código do parametrizador de função dos tipos de operação que deve ser considerado para notas da empresa.</t>
  </si>
  <si>
    <t>Local Nota Fiscal (notas de terceiros)</t>
  </si>
  <si>
    <t>Informar a data de corte para considerar apenas notas recebidas a partir dessa data.</t>
  </si>
  <si>
    <t>Informar o código do parametrizador de função dos tipos de operação que deve ser considerado para notas de terceiros.</t>
  </si>
  <si>
    <t>Local Nota Fiscal (desfazimento entrega futura)</t>
  </si>
  <si>
    <t>Informar o código do parametrizador de função dos tipos de operação que deve ser considerado para desfazimentos de entrega futura.</t>
  </si>
  <si>
    <t>Informar a data de corte para considerar apenas títulos emitidos a partir dessa data.</t>
  </si>
  <si>
    <t>Configuração de e-mail</t>
  </si>
  <si>
    <t>Fluxo Geral de Integração / Exportação</t>
  </si>
  <si>
    <t>Cliente deseja receber e-mail do resumo de integração e pedido?</t>
  </si>
  <si>
    <t>Preencher SIM ou NÃO: Informar se o cliente deseja receber e-mail de resumo da integração de dados. Caso SIM, deve ser preenchido os dados de SMTP abaixo.</t>
  </si>
  <si>
    <t>Enviar e-mail somente quando houver erros?</t>
  </si>
  <si>
    <t>Preencher SIM ou NÃO: Caso a opção anterior seja "SIM", deseja receber o e-mail somente quando houver erros?</t>
  </si>
  <si>
    <t>Não, se não preenche, não será enviado e-mail.</t>
  </si>
  <si>
    <t>PREENCHER APENAS SE O CLIENTE DESEJA O ENVIO DE E-MAIL</t>
  </si>
  <si>
    <t>Dados SMTP</t>
  </si>
  <si>
    <t>Informar o Usuário do SMTP.</t>
  </si>
  <si>
    <t>Senha</t>
  </si>
  <si>
    <t>Informar a Senha do SMTP.</t>
  </si>
  <si>
    <t>Host</t>
  </si>
  <si>
    <t>Informar o Host do SMTP.</t>
  </si>
  <si>
    <t>Porta</t>
  </si>
  <si>
    <t>Informar a Porta do SMTP.</t>
  </si>
  <si>
    <t>SSL / TLS</t>
  </si>
  <si>
    <t>Preencher SIM ou NÃO: Informar se utiliza SSL / TLS.</t>
  </si>
  <si>
    <t>E-mails para recebimento de notificações da integração</t>
  </si>
  <si>
    <t>Informe os e-mails que receberão os resumos referentes às execuções dos fluxos orquestradores da integração e da exportação de pedidos.</t>
  </si>
  <si>
    <t>CONTROLE DE VERSÃO - DESTINADO A INFORMAR ALTERAÇÃO NOS DADOS PREENCHIDOS PELOS CONSULTORES DO CLOVER CRM</t>
  </si>
  <si>
    <t>DATA</t>
  </si>
  <si>
    <t>RESPONSÁVEL</t>
  </si>
  <si>
    <t>VERSÃO</t>
  </si>
  <si>
    <t>ALTERAÇÕES</t>
  </si>
  <si>
    <t>CONTROLE DE VERSÃO - DESTINADO A INFORMAR ALTERAÇÕES NA ESTRUTURA DO DOCUMENTO FEITO PELA ALIARE INTEGRA</t>
  </si>
  <si>
    <t>FLUXOS</t>
  </si>
  <si>
    <t>Vai Integrar ? (S/N)</t>
  </si>
  <si>
    <t>Consideração Clover</t>
  </si>
  <si>
    <t>QTD. REGISTROS</t>
  </si>
  <si>
    <t>1 - País</t>
  </si>
  <si>
    <t>pessoa</t>
  </si>
  <si>
    <t>2 - Unidade Federativa</t>
  </si>
  <si>
    <t>local</t>
  </si>
  <si>
    <t>3 - Cidade</t>
  </si>
  <si>
    <t>4 - Unidade de medida</t>
  </si>
  <si>
    <t>pedido</t>
  </si>
  <si>
    <t>5 - Parceiro, Pessoa Física e Jurídica</t>
  </si>
  <si>
    <t>documentos de faturamento</t>
  </si>
  <si>
    <t>5.1 - Pessoa Física</t>
  </si>
  <si>
    <t>5.2 - Pessoa Jurídica</t>
  </si>
  <si>
    <t>6 - Propriedade</t>
  </si>
  <si>
    <t>7 - Local</t>
  </si>
  <si>
    <t>8 - Filial</t>
  </si>
  <si>
    <t>9 - Empresa</t>
  </si>
  <si>
    <t>10 - Classe de produto</t>
  </si>
  <si>
    <t>11 - Registrante</t>
  </si>
  <si>
    <t>12 - Produto</t>
  </si>
  <si>
    <t>13 - Produto Classe</t>
  </si>
  <si>
    <t>14 - Veículo</t>
  </si>
  <si>
    <t>15 - Centro de custo</t>
  </si>
  <si>
    <t>Depende se vai utilizar centro de custo</t>
  </si>
  <si>
    <t>16 - Cônjuge</t>
  </si>
  <si>
    <t>17 - Cultura</t>
  </si>
  <si>
    <t>18 - Despesa</t>
  </si>
  <si>
    <t>19 - Banco Cooperativa</t>
  </si>
  <si>
    <t>20 - Agência</t>
  </si>
  <si>
    <t>21 - PV Moeda</t>
  </si>
  <si>
    <t>22 - Usuário, usuário filial, usuário empresa</t>
  </si>
  <si>
    <t>23 - Região, usuário parceiro, usuário região</t>
  </si>
  <si>
    <t>24 - Vinculo Imobiliário, Posse e Arrendamento (propriedade)</t>
  </si>
  <si>
    <t>25 - Região local</t>
  </si>
  <si>
    <t>26 - Safra</t>
  </si>
  <si>
    <t>27 - Tipo parceiro</t>
  </si>
  <si>
    <t>28 - Condição de pagamento</t>
  </si>
  <si>
    <t>PV Condicao Pagamento/Tipo Documento Cobranca</t>
  </si>
  <si>
    <t>[DELEÇÃO] PV Condicao Pagamento/Tipo Documento Cobranca</t>
  </si>
  <si>
    <t>29 - Estoque</t>
  </si>
  <si>
    <t>30 - Faturamento mensal</t>
  </si>
  <si>
    <t>31 - Limite Crédito Parceiro e Safra</t>
  </si>
  <si>
    <t>Depende se vai acompanhar o limite de crédito</t>
  </si>
  <si>
    <t>32 - Local nota fiscal</t>
  </si>
  <si>
    <t>33 - Modalidade Recolhimento Funrural</t>
  </si>
  <si>
    <t>Depende se vai utilizar importo no pedido de troca</t>
  </si>
  <si>
    <t>34 - PV Pedido Histórico Situação</t>
  </si>
  <si>
    <t>35 - PV Pedido Item Histórico Situação</t>
  </si>
  <si>
    <t>36 - PV Pedido Item Nota Fiscal</t>
  </si>
  <si>
    <t>37 - PV Tabela Preço</t>
  </si>
  <si>
    <t>38 - PV Tabela Preço Item e PV Tabela Preço Item Vigência</t>
  </si>
  <si>
    <t>Depende do tipo de preço praticado</t>
  </si>
  <si>
    <t>39 - PV Tabela Preço Condição</t>
  </si>
  <si>
    <t>40 - PV Tabela Preço Filial</t>
  </si>
  <si>
    <t>41 - PV Tabela Preço Item Condição</t>
  </si>
  <si>
    <t>42 - PV Tabela Preço Item Projeção</t>
  </si>
  <si>
    <t>43 - PV Tabela Preço Safra</t>
  </si>
  <si>
    <t>44 - PV Tabela Preço UF Destino</t>
  </si>
  <si>
    <t>45 - PV Tipo de documento de cobrança</t>
  </si>
  <si>
    <t>46 - PV Tipo de negociação</t>
  </si>
  <si>
    <t>47 - Títulos</t>
  </si>
  <si>
    <t>48 - Exportação do pedido de venda</t>
  </si>
  <si>
    <t>49 - PV Campanha de oferta</t>
  </si>
  <si>
    <t>OBS: Fluxo está em Desenvolvimento/Teste na Bom Jesus</t>
  </si>
  <si>
    <t>50 - Registrante Marca</t>
  </si>
  <si>
    <t>51 - Parceiro Tipo Parceiro</t>
  </si>
  <si>
    <t>52 - Atualiza coordenadas da propriedade no Simer</t>
  </si>
  <si>
    <t>52 - Campanha de troca</t>
  </si>
  <si>
    <t>VARIÁVEL/FILTRO</t>
  </si>
  <si>
    <t>Classificação Tipo Pessoa</t>
  </si>
  <si>
    <t>Informar os códigos das classificações válidas separadas por vírgula (ex: 1, 2, 3).
OBRIGATÓRIO. Para integrar somente o que é útil, como também reduzir o tamanho da carga inicial.</t>
  </si>
  <si>
    <t>Informar o código da matriz principal.
OBRIGATÓRIO. Para migrar registro de parceiro padrão do Clover com chaveERP ALIARE#INTEGRA para o ID da matriz principal.</t>
  </si>
  <si>
    <t>Filiais válidas</t>
  </si>
  <si>
    <t>Informar os códigos das filiais válidas separadas por vírgula (ex: 1, 2, 3).
Se não preencher, todas serão consideradas.</t>
  </si>
  <si>
    <t>Informar os códigos das empresas válidas separadas por vírgula (ex: 1, 2, 3).
Se não preencher, todas serão consideradas.</t>
  </si>
  <si>
    <t>Informar o código da matriz principal.
OBRIGATÓRIO. Para migrar registro de empresa padrão do Clover com chaveERP ALIARE#INTEGRA para o ID da matriz principal.</t>
  </si>
  <si>
    <t>Contas de estoque válidas</t>
  </si>
  <si>
    <t>Informar os IDs das contas estoque válidas separadas por vírgula (ex: 1, 2, 3).
Se não preencher, todas serão consideradas.</t>
  </si>
  <si>
    <t>Tipos de produtos válidos</t>
  </si>
  <si>
    <t>Informar os IDs dos tipos de produtos válidos separados por vírgula (ex: 1, 2, 3).
Se não preencher, todas serão consideradas.</t>
  </si>
  <si>
    <t>Informar os IDs dos grupos válidos separadas por vírgula (ex: 1, 2, 3).
Se não preencher, todas serão consideradas.</t>
  </si>
  <si>
    <t>Informar os códigos das culturas válidas separadas por vírgula (ex: 1, 2, 3).
Se não preencher, todas serão consideradas.</t>
  </si>
  <si>
    <t>Informar os códigos dos departamentos válidos separadas por vírgula (ex: 1, 2, 3).
Se não preencher, todas serão consideradas.</t>
  </si>
  <si>
    <t>Categorias de vendedores válidos</t>
  </si>
  <si>
    <t>Data de início da vigência</t>
  </si>
  <si>
    <t>Informar a data de corte para o inicio de vigência das safras (ex: 01/01/2023). 
OBRIGATÓRIO.</t>
  </si>
  <si>
    <t>Safras válidas</t>
  </si>
  <si>
    <t>Informar os códigos das safras válidas separadas por vírgula (ex: 1, 2, 3).
Se não preencher, todas serão consideradas.</t>
  </si>
  <si>
    <t>Informar os códigos das condições válidas separadas por vírgula (ex: 1, 2, 3).
Se não preencher, todas serão consideradas.</t>
  </si>
  <si>
    <t>Ano de corte</t>
  </si>
  <si>
    <t>Informar o ano de corte (ex: 2023).
Se não preencher, todos serão considerados.</t>
  </si>
  <si>
    <t>Operações internas válidas</t>
  </si>
  <si>
    <t>Informar o ID Simer das operações internas que devem ser consideradas para integração de Local Nota Fiscal.
OBRIGATÓRIO.</t>
  </si>
  <si>
    <t>Informar os códigos das tabelas válidas separadas por vírgula (ex: 1, 2, 3).
Se não preencher, todas serão consideradas.</t>
  </si>
  <si>
    <t>Utiliza barter?</t>
  </si>
  <si>
    <t>Informar "S" caso seja necessário integrar tabelas barter, se não, informar "N".
Se não preencher, será preenchido com "S" para integrar todas tabelas.</t>
  </si>
  <si>
    <t>Tipos de cobrança válidos</t>
  </si>
  <si>
    <t>Informar os códigos dos tipos de cobrança separados por vírgula (ex: 1, 2, 3).
Se não preencher, todas serão consideradas.</t>
  </si>
  <si>
    <t>Desconsidera Operações Internas</t>
  </si>
  <si>
    <t>Informar separadas por vírgula (ex: 1, 2, 3), os IDs das operações internas que precisam ser desconsideradas do relatório de pedido em aberto.
Se não preencher, todas serão consideradas.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</si>
</sst>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"/>
    <numFmt numFmtId="165" formatCode="_-* #,##0.00_-;\-* #,##0.00_-;_-* \-??_-;_-@_-"/>
    <numFmt numFmtId="166" formatCode="0.0"/>
    <numFmt numFmtId="167" formatCode="[hh]:mm"/>
    <numFmt numFmtId="168" formatCode="[h]:mm:ss;@"/>
    <numFmt numFmtId="169" formatCode="[$-F400]h:mm:ss\ AM/PM"/>
    <numFmt numFmtId="170" formatCode="_-* #,##0_-;\-* #,##0_-;_-* \-??_-;_-@_-"/>
    <numFmt numFmtId="171" formatCode="[$-416]d/m/yyyy"/>
  </numFmts>
  <fonts count="53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sz val="12"/>
      <color rgb="FF000000"/>
      <name val="Calibri"/>
      <family val="2"/>
      <charset val="1"/>
    </font>
    <font>
      <b/>
      <sz val="20"/>
      <color rgb="FFF2F2F2"/>
      <name val="Calibri"/>
      <family val="2"/>
      <charset val="1"/>
    </font>
    <font>
      <b/>
      <sz val="24"/>
      <color rgb="FFF2F2F2"/>
      <name val="Calibri"/>
      <family val="2"/>
      <charset val="1"/>
    </font>
    <font>
      <b/>
      <sz val="14"/>
      <color rgb="FFF2F2F2"/>
      <name val="Calibri"/>
      <family val="2"/>
      <charset val="1"/>
    </font>
    <font>
      <b/>
      <sz val="12"/>
      <color rgb="FFF2F2F2"/>
      <name val="Calibri"/>
      <family val="2"/>
      <charset val="1"/>
    </font>
    <font>
      <b/>
      <sz val="22"/>
      <color rgb="FFF2F2F2"/>
      <name val="Calibri"/>
      <family val="2"/>
      <charset val="1"/>
    </font>
    <font>
      <b/>
      <sz val="16"/>
      <color rgb="FFF2F2F2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4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4"/>
      <color theme="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2"/>
      <color rgb="FFFF0000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4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000000"/>
      <name val="Calibri"/>
      <charset val="1"/>
    </font>
    <font>
      <b/>
      <sz val="12"/>
      <color rgb="FFFF0000"/>
      <name val="Calibri"/>
      <charset val="1"/>
    </font>
    <font>
      <b/>
      <sz val="12"/>
      <color rgb="FF000000"/>
      <name val="Calibri"/>
      <charset val="1"/>
    </font>
    <font>
      <b/>
      <sz val="12"/>
      <color rgb="FF00B050"/>
      <name val="Calibri"/>
      <charset val="1"/>
    </font>
    <font>
      <sz val="12"/>
      <name val="Calibri"/>
      <charset val="1"/>
    </font>
    <font>
      <sz val="11"/>
      <color rgb="FF000000"/>
      <name val="System-Ui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alibri"/>
      <charset val="1"/>
    </font>
    <font>
      <b/>
      <sz val="11"/>
      <color theme="1"/>
      <name val="Calibri"/>
      <family val="2"/>
      <charset val="1"/>
    </font>
    <font>
      <b/>
      <sz val="18"/>
      <color rgb="FFFF0000"/>
      <name val="Aptos Narrow"/>
      <charset val="1"/>
    </font>
    <font>
      <b/>
      <sz val="11"/>
      <color theme="0"/>
      <name val="Calibri"/>
      <charset val="1"/>
    </font>
    <font>
      <sz val="11"/>
      <color rgb="FFFF0000"/>
      <name val="Calibri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FF0000"/>
      <name val="Calibri"/>
      <family val="2"/>
      <charset val="1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5B9BD5"/>
        <bgColor rgb="FF8FAADC"/>
      </patternFill>
    </fill>
    <fill>
      <patternFill patternType="solid">
        <fgColor rgb="FFDEEBF7"/>
        <bgColor rgb="FFDAE3F3"/>
      </patternFill>
    </fill>
    <fill>
      <patternFill patternType="solid">
        <fgColor theme="0"/>
        <bgColor rgb="FFF2F2F2"/>
      </patternFill>
    </fill>
    <fill>
      <patternFill patternType="solid">
        <fgColor theme="9" tint="0.79989013336588644"/>
        <bgColor rgb="FFE2EFDA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rgb="FFD9D9D9"/>
        <bgColor rgb="FFDBDBDB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9" tint="-0.249977111117893"/>
        <bgColor rgb="FF767171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6" tint="0.59987182226020086"/>
        <bgColor rgb="FFD9D9D9"/>
      </patternFill>
    </fill>
    <fill>
      <patternFill patternType="solid">
        <fgColor rgb="FFFFFF00"/>
        <bgColor rgb="FFFFD966"/>
      </patternFill>
    </fill>
    <fill>
      <patternFill patternType="solid">
        <fgColor theme="5" tint="-0.249977111117893"/>
        <bgColor rgb="FFBF9000"/>
      </patternFill>
    </fill>
    <fill>
      <patternFill patternType="solid">
        <fgColor rgb="FFE58B39"/>
        <bgColor rgb="FFFF9933"/>
      </patternFill>
    </fill>
    <fill>
      <patternFill patternType="solid">
        <fgColor rgb="FF92D050"/>
        <bgColor rgb="FF92C743"/>
      </patternFill>
    </fill>
    <fill>
      <patternFill patternType="solid">
        <fgColor theme="7" tint="-0.249977111117893"/>
        <bgColor rgb="FFE58B39"/>
      </patternFill>
    </fill>
    <fill>
      <patternFill patternType="solid">
        <fgColor theme="7" tint="0.39988402966399123"/>
        <bgColor rgb="FFFED07F"/>
      </patternFill>
    </fill>
    <fill>
      <patternFill patternType="solid">
        <fgColor theme="9" tint="0.59987182226020086"/>
        <bgColor rgb="FFC6EFCE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4" tint="-0.249977111117893"/>
        <bgColor rgb="FF333F50"/>
      </patternFill>
    </fill>
    <fill>
      <patternFill patternType="solid">
        <fgColor theme="4" tint="0.39988402966399123"/>
        <bgColor rgb="FF9DC3E6"/>
      </patternFill>
    </fill>
    <fill>
      <patternFill patternType="solid">
        <fgColor theme="8" tint="0.39988402966399123"/>
        <bgColor rgb="FFB4C7E7"/>
      </patternFill>
    </fill>
    <fill>
      <patternFill patternType="solid">
        <fgColor theme="9" tint="0.39988402966399123"/>
        <bgColor rgb="FF97CD7E"/>
      </patternFill>
    </fill>
    <fill>
      <patternFill patternType="solid">
        <fgColor rgb="FFFF0000"/>
        <bgColor rgb="FF9C0006"/>
      </patternFill>
    </fill>
    <fill>
      <patternFill patternType="solid">
        <fgColor rgb="FFFF8585"/>
        <bgColor rgb="FFF8696B"/>
      </patternFill>
    </fill>
    <fill>
      <patternFill patternType="solid">
        <fgColor theme="3" tint="-0.249977111117893"/>
        <bgColor rgb="FF262626"/>
      </patternFill>
    </fill>
    <fill>
      <patternFill patternType="solid">
        <fgColor theme="1" tint="0.14999847407452621"/>
        <bgColor rgb="FF333F50"/>
      </patternFill>
    </fill>
    <fill>
      <patternFill patternType="solid">
        <fgColor theme="0" tint="-0.249977111117893"/>
        <bgColor rgb="FFD0CECE"/>
      </patternFill>
    </fill>
    <fill>
      <patternFill patternType="solid">
        <fgColor theme="2" tint="-0.499984740745262"/>
        <bgColor rgb="FF548235"/>
      </patternFill>
    </fill>
    <fill>
      <patternFill patternType="solid">
        <fgColor rgb="FF00B050"/>
        <bgColor rgb="FF00A933"/>
      </patternFill>
    </fill>
    <fill>
      <patternFill patternType="solid">
        <fgColor rgb="FFFF9933"/>
        <bgColor rgb="FFE58B39"/>
      </patternFill>
    </fill>
    <fill>
      <patternFill patternType="solid">
        <fgColor rgb="FF92C743"/>
        <bgColor rgb="FF92D050"/>
      </patternFill>
    </fill>
    <fill>
      <patternFill patternType="solid">
        <fgColor rgb="FF3FB690"/>
        <bgColor rgb="FF63BE7B"/>
      </patternFill>
    </fill>
    <fill>
      <patternFill patternType="solid">
        <fgColor rgb="FF00A933"/>
        <bgColor rgb="FF00B050"/>
      </patternFill>
    </fill>
    <fill>
      <patternFill patternType="solid">
        <fgColor rgb="FFFFEB84"/>
        <bgColor rgb="FFFFE683"/>
      </patternFill>
    </fill>
    <fill>
      <patternFill patternType="solid">
        <fgColor rgb="FF63BE7B"/>
        <bgColor rgb="FF3FB690"/>
      </patternFill>
    </fill>
    <fill>
      <patternFill patternType="solid">
        <fgColor rgb="FF97CD7E"/>
        <bgColor rgb="FFA9D18E"/>
      </patternFill>
    </fill>
    <fill>
      <patternFill patternType="solid">
        <fgColor rgb="FFFFE683"/>
        <bgColor rgb="FFFFE182"/>
      </patternFill>
    </fill>
    <fill>
      <patternFill patternType="solid">
        <fgColor rgb="FFFFE182"/>
        <bgColor rgb="FFFFE683"/>
      </patternFill>
    </fill>
    <fill>
      <patternFill patternType="solid">
        <fgColor rgb="FFF8696B"/>
        <bgColor rgb="FFFF8585"/>
      </patternFill>
    </fill>
    <fill>
      <patternFill patternType="solid">
        <fgColor rgb="FFFED07F"/>
        <bgColor rgb="FFFFD966"/>
      </patternFill>
    </fill>
    <fill>
      <patternFill patternType="solid">
        <fgColor theme="9"/>
        <bgColor rgb="FF63BE7B"/>
      </patternFill>
    </fill>
    <fill>
      <patternFill patternType="solid">
        <fgColor rgb="FFE2EFDA"/>
        <bgColor rgb="FFE2F0D9"/>
      </patternFill>
    </fill>
    <fill>
      <patternFill patternType="solid">
        <fgColor theme="4" tint="0.79989013336588644"/>
        <bgColor rgb="FFD9E1F2"/>
      </patternFill>
    </fill>
    <fill>
      <patternFill patternType="solid">
        <fgColor theme="4" tint="0.59987182226020086"/>
        <bgColor rgb="FF9DC3E6"/>
      </patternFill>
    </fill>
    <fill>
      <patternFill patternType="solid">
        <fgColor rgb="FFD9E1F2"/>
        <bgColor rgb="FFDAE3F3"/>
      </patternFill>
    </fill>
    <fill>
      <patternFill patternType="solid">
        <fgColor rgb="FFDEEBF7"/>
        <bgColor indexed="64"/>
      </patternFill>
    </fill>
    <fill>
      <patternFill patternType="solid">
        <fgColor rgb="FFDEEBF7"/>
        <bgColor rgb="FFCCFFFF"/>
      </patternFill>
    </fill>
  </fills>
  <borders count="6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hair">
        <color auto="1"/>
      </right>
      <top style="medium">
        <color rgb="FFBFBFBF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BFBFBF"/>
      </top>
      <bottom style="hair">
        <color auto="1"/>
      </bottom>
      <diagonal/>
    </border>
    <border>
      <left style="medium">
        <color rgb="FFBFBFBF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BFBFBF"/>
      </left>
      <right style="medium">
        <color rgb="FFBFBFBF"/>
      </right>
      <top style="hair">
        <color auto="1"/>
      </top>
      <bottom style="hair">
        <color auto="1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hair">
        <color auto="1"/>
      </left>
      <right style="medium">
        <color rgb="FFBFBFBF"/>
      </right>
      <top style="hair">
        <color auto="1"/>
      </top>
      <bottom style="hair">
        <color auto="1"/>
      </bottom>
      <diagonal/>
    </border>
    <border>
      <left style="medium">
        <color rgb="FFBFBFBF"/>
      </left>
      <right style="hair">
        <color auto="1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hair">
        <color auto="1"/>
      </top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/>
      <top style="hair">
        <color auto="1"/>
      </top>
      <bottom style="hair">
        <color auto="1"/>
      </bottom>
      <diagonal/>
    </border>
    <border>
      <left style="medium">
        <color rgb="FFBFBFBF"/>
      </left>
      <right style="hair">
        <color auto="1"/>
      </right>
      <top style="medium">
        <color rgb="FFBFBFBF"/>
      </top>
      <bottom/>
      <diagonal/>
    </border>
    <border>
      <left style="hair">
        <color auto="1"/>
      </left>
      <right style="hair">
        <color auto="1"/>
      </right>
      <top style="medium">
        <color rgb="FFBFBFBF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rgb="FFBFBFBF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rgb="FFBFBFBF"/>
      </left>
      <right style="medium">
        <color rgb="FFBFBFBF"/>
      </right>
      <top/>
      <bottom style="hair">
        <color auto="1"/>
      </bottom>
      <diagonal/>
    </border>
    <border>
      <left style="hair">
        <color auto="1"/>
      </left>
      <right style="medium">
        <color rgb="FFBFBFBF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7">
    <xf numFmtId="0" fontId="0" fillId="0" borderId="0"/>
    <xf numFmtId="165" fontId="8" fillId="0" borderId="0"/>
    <xf numFmtId="9" fontId="45" fillId="0" borderId="0"/>
    <xf numFmtId="0" fontId="45" fillId="0" borderId="0"/>
    <xf numFmtId="0" fontId="1" fillId="0" borderId="0"/>
    <xf numFmtId="0" fontId="32" fillId="2" borderId="0"/>
    <xf numFmtId="0" fontId="45" fillId="3" borderId="0"/>
  </cellStyleXfs>
  <cellXfs count="650">
    <xf numFmtId="0" fontId="0" fillId="0" borderId="0" xfId="0"/>
    <xf numFmtId="0" fontId="10" fillId="7" borderId="4" xfId="0" applyFont="1" applyFill="1" applyBorder="1" applyAlignment="1">
      <alignment horizontal="center" vertical="center" wrapText="1"/>
    </xf>
    <xf numFmtId="168" fontId="10" fillId="7" borderId="1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0" fontId="4" fillId="4" borderId="0" xfId="0" applyFont="1" applyFill="1"/>
    <xf numFmtId="0" fontId="0" fillId="5" borderId="1" xfId="0" applyFill="1" applyBorder="1"/>
    <xf numFmtId="0" fontId="0" fillId="5" borderId="2" xfId="0" applyFill="1" applyBorder="1" applyAlignment="1" applyProtection="1">
      <alignment horizontal="center"/>
      <protection locked="0"/>
    </xf>
    <xf numFmtId="0" fontId="0" fillId="5" borderId="3" xfId="0" applyFill="1" applyBorder="1"/>
    <xf numFmtId="0" fontId="0" fillId="5" borderId="5" xfId="0" applyFill="1" applyBorder="1"/>
    <xf numFmtId="9" fontId="0" fillId="5" borderId="6" xfId="0" applyNumberFormat="1" applyFill="1" applyBorder="1" applyAlignment="1" applyProtection="1">
      <alignment horizontal="center"/>
      <protection locked="0"/>
    </xf>
    <xf numFmtId="0" fontId="0" fillId="5" borderId="0" xfId="0" applyFill="1"/>
    <xf numFmtId="0" fontId="0" fillId="5" borderId="6" xfId="0" applyFill="1" applyBorder="1" applyAlignment="1" applyProtection="1">
      <alignment horizontal="center"/>
      <protection locked="0"/>
    </xf>
    <xf numFmtId="0" fontId="6" fillId="5" borderId="0" xfId="0" applyFont="1" applyFill="1"/>
    <xf numFmtId="0" fontId="0" fillId="5" borderId="4" xfId="0" applyFill="1" applyBorder="1" applyAlignment="1" applyProtection="1">
      <alignment horizontal="center" wrapText="1"/>
      <protection locked="0"/>
    </xf>
    <xf numFmtId="0" fontId="0" fillId="5" borderId="6" xfId="0" applyFill="1" applyBorder="1" applyAlignment="1" applyProtection="1">
      <alignment horizontal="center" vertical="top" wrapText="1"/>
      <protection locked="0"/>
    </xf>
    <xf numFmtId="1" fontId="0" fillId="5" borderId="4" xfId="0" applyNumberFormat="1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7" xfId="0" applyFill="1" applyBorder="1"/>
    <xf numFmtId="0" fontId="0" fillId="5" borderId="8" xfId="0" applyFill="1" applyBorder="1" applyAlignment="1" applyProtection="1">
      <alignment horizontal="center"/>
      <protection locked="0"/>
    </xf>
    <xf numFmtId="0" fontId="7" fillId="4" borderId="0" xfId="0" applyFont="1" applyFill="1"/>
    <xf numFmtId="0" fontId="6" fillId="5" borderId="9" xfId="0" applyFont="1" applyFill="1" applyBorder="1"/>
    <xf numFmtId="0" fontId="0" fillId="5" borderId="7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6" borderId="4" xfId="0" applyFill="1" applyBorder="1" applyAlignment="1" applyProtection="1">
      <alignment horizontal="center"/>
      <protection locked="0"/>
    </xf>
    <xf numFmtId="0" fontId="0" fillId="6" borderId="4" xfId="0" applyFill="1" applyBorder="1"/>
    <xf numFmtId="3" fontId="0" fillId="6" borderId="4" xfId="0" applyNumberFormat="1" applyFill="1" applyBorder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/>
    <xf numFmtId="3" fontId="4" fillId="5" borderId="4" xfId="0" applyNumberFormat="1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9" fontId="45" fillId="4" borderId="0" xfId="2" applyFill="1"/>
    <xf numFmtId="9" fontId="0" fillId="4" borderId="0" xfId="0" applyNumberFormat="1" applyFill="1"/>
    <xf numFmtId="0" fontId="4" fillId="5" borderId="1" xfId="0" applyFont="1" applyFill="1" applyBorder="1" applyAlignment="1">
      <alignment vertical="center"/>
    </xf>
    <xf numFmtId="0" fontId="4" fillId="5" borderId="14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/>
    </xf>
    <xf numFmtId="1" fontId="0" fillId="4" borderId="15" xfId="0" applyNumberFormat="1" applyFill="1" applyBorder="1" applyAlignment="1">
      <alignment horizontal="center" vertical="center"/>
    </xf>
    <xf numFmtId="9" fontId="45" fillId="4" borderId="15" xfId="2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1" fontId="0" fillId="6" borderId="5" xfId="0" applyNumberFormat="1" applyFill="1" applyBorder="1" applyAlignment="1">
      <alignment horizontal="center" vertical="center"/>
    </xf>
    <xf numFmtId="9" fontId="45" fillId="6" borderId="15" xfId="2" applyFill="1" applyBorder="1" applyAlignment="1">
      <alignment horizontal="center"/>
    </xf>
    <xf numFmtId="165" fontId="8" fillId="4" borderId="0" xfId="1" applyFill="1"/>
    <xf numFmtId="2" fontId="0" fillId="4" borderId="0" xfId="0" applyNumberFormat="1" applyFill="1"/>
    <xf numFmtId="0" fontId="4" fillId="7" borderId="7" xfId="0" applyFont="1" applyFill="1" applyBorder="1" applyAlignment="1">
      <alignment vertical="center"/>
    </xf>
    <xf numFmtId="1" fontId="4" fillId="7" borderId="11" xfId="0" applyNumberFormat="1" applyFont="1" applyFill="1" applyBorder="1" applyAlignment="1">
      <alignment horizontal="center" vertical="center"/>
    </xf>
    <xf numFmtId="9" fontId="4" fillId="8" borderId="11" xfId="2" applyFont="1" applyFill="1" applyBorder="1" applyAlignment="1">
      <alignment horizontal="center"/>
    </xf>
    <xf numFmtId="166" fontId="0" fillId="4" borderId="0" xfId="0" applyNumberFormat="1" applyFill="1"/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 applyProtection="1">
      <alignment horizontal="left" vertical="center" wrapText="1"/>
      <protection locked="0"/>
    </xf>
    <xf numFmtId="0" fontId="0" fillId="4" borderId="6" xfId="0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vertical="center" wrapText="1"/>
    </xf>
    <xf numFmtId="0" fontId="4" fillId="7" borderId="9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top"/>
    </xf>
    <xf numFmtId="1" fontId="12" fillId="9" borderId="4" xfId="0" applyNumberFormat="1" applyFont="1" applyFill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center" vertical="center" wrapText="1"/>
    </xf>
    <xf numFmtId="0" fontId="13" fillId="9" borderId="18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center" vertical="center"/>
    </xf>
    <xf numFmtId="0" fontId="13" fillId="9" borderId="20" xfId="0" applyFont="1" applyFill="1" applyBorder="1" applyAlignment="1">
      <alignment horizontal="center" vertical="center" wrapText="1"/>
    </xf>
    <xf numFmtId="0" fontId="45" fillId="0" borderId="0" xfId="3"/>
    <xf numFmtId="0" fontId="14" fillId="9" borderId="4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/>
    </xf>
    <xf numFmtId="1" fontId="15" fillId="9" borderId="4" xfId="0" applyNumberFormat="1" applyFont="1" applyFill="1" applyBorder="1" applyAlignment="1">
      <alignment horizontal="center" vertical="center" wrapText="1"/>
    </xf>
    <xf numFmtId="2" fontId="16" fillId="9" borderId="4" xfId="0" applyNumberFormat="1" applyFont="1" applyFill="1" applyBorder="1" applyAlignment="1">
      <alignment horizontal="center" vertical="center" wrapText="1"/>
    </xf>
    <xf numFmtId="167" fontId="16" fillId="9" borderId="4" xfId="0" applyNumberFormat="1" applyFont="1" applyFill="1" applyBorder="1" applyAlignment="1">
      <alignment horizontal="center" vertical="center"/>
    </xf>
    <xf numFmtId="2" fontId="45" fillId="0" borderId="0" xfId="3" applyNumberFormat="1"/>
    <xf numFmtId="0" fontId="17" fillId="10" borderId="4" xfId="0" applyFont="1" applyFill="1" applyBorder="1" applyAlignment="1">
      <alignment horizontal="center" vertical="center" wrapText="1"/>
    </xf>
    <xf numFmtId="1" fontId="18" fillId="10" borderId="4" xfId="0" applyNumberFormat="1" applyFont="1" applyFill="1" applyBorder="1" applyAlignment="1">
      <alignment horizontal="center" vertical="center"/>
    </xf>
    <xf numFmtId="166" fontId="17" fillId="10" borderId="4" xfId="0" applyNumberFormat="1" applyFont="1" applyFill="1" applyBorder="1" applyAlignment="1">
      <alignment vertical="center" wrapText="1"/>
    </xf>
    <xf numFmtId="1" fontId="18" fillId="10" borderId="4" xfId="0" applyNumberFormat="1" applyFont="1" applyFill="1" applyBorder="1" applyAlignment="1">
      <alignment horizontal="center" vertical="center" wrapText="1"/>
    </xf>
    <xf numFmtId="166" fontId="17" fillId="10" borderId="4" xfId="0" applyNumberFormat="1" applyFont="1" applyFill="1" applyBorder="1" applyAlignment="1">
      <alignment horizontal="center" vertical="center" wrapText="1"/>
    </xf>
    <xf numFmtId="166" fontId="18" fillId="10" borderId="4" xfId="0" applyNumberFormat="1" applyFont="1" applyFill="1" applyBorder="1" applyAlignment="1">
      <alignment horizontal="center" vertical="center" wrapText="1"/>
    </xf>
    <xf numFmtId="20" fontId="10" fillId="0" borderId="0" xfId="0" applyNumberFormat="1" applyFont="1"/>
    <xf numFmtId="168" fontId="10" fillId="0" borderId="0" xfId="0" applyNumberFormat="1" applyFont="1"/>
    <xf numFmtId="0" fontId="10" fillId="7" borderId="11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left" vertical="top" wrapText="1"/>
    </xf>
    <xf numFmtId="20" fontId="10" fillId="7" borderId="11" xfId="0" applyNumberFormat="1" applyFont="1" applyFill="1" applyBorder="1" applyAlignment="1">
      <alignment horizontal="center" vertical="top" wrapText="1"/>
    </xf>
    <xf numFmtId="168" fontId="10" fillId="7" borderId="7" xfId="0" applyNumberFormat="1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vertical="center"/>
    </xf>
    <xf numFmtId="0" fontId="10" fillId="7" borderId="10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left" vertical="top" wrapText="1"/>
    </xf>
    <xf numFmtId="0" fontId="10" fillId="7" borderId="4" xfId="0" applyFont="1" applyFill="1" applyBorder="1" applyAlignment="1">
      <alignment horizontal="center" vertical="top" wrapText="1"/>
    </xf>
    <xf numFmtId="0" fontId="10" fillId="7" borderId="10" xfId="0" applyFont="1" applyFill="1" applyBorder="1" applyAlignment="1">
      <alignment horizontal="left" vertical="center" wrapText="1"/>
    </xf>
    <xf numFmtId="0" fontId="10" fillId="7" borderId="13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vertical="center" wrapText="1"/>
    </xf>
    <xf numFmtId="0" fontId="10" fillId="7" borderId="13" xfId="0" applyFont="1" applyFill="1" applyBorder="1" applyAlignment="1">
      <alignment vertical="center" wrapText="1"/>
    </xf>
    <xf numFmtId="0" fontId="10" fillId="7" borderId="4" xfId="0" applyFont="1" applyFill="1" applyBorder="1"/>
    <xf numFmtId="0" fontId="10" fillId="7" borderId="4" xfId="0" applyFont="1" applyFill="1" applyBorder="1" applyAlignment="1">
      <alignment horizontal="left" vertical="center" wrapText="1"/>
    </xf>
    <xf numFmtId="20" fontId="10" fillId="7" borderId="11" xfId="0" applyNumberFormat="1" applyFont="1" applyFill="1" applyBorder="1" applyAlignment="1">
      <alignment horizontal="center" vertical="center" wrapText="1"/>
    </xf>
    <xf numFmtId="0" fontId="45" fillId="0" borderId="0" xfId="3" applyAlignment="1">
      <alignment vertical="center"/>
    </xf>
    <xf numFmtId="0" fontId="10" fillId="11" borderId="4" xfId="0" applyFont="1" applyFill="1" applyBorder="1" applyAlignment="1">
      <alignment horizontal="center" wrapText="1"/>
    </xf>
    <xf numFmtId="0" fontId="10" fillId="7" borderId="10" xfId="4" applyFont="1" applyFill="1" applyBorder="1" applyAlignment="1">
      <alignment vertical="center" wrapText="1"/>
    </xf>
    <xf numFmtId="0" fontId="10" fillId="7" borderId="13" xfId="0" applyFont="1" applyFill="1" applyBorder="1" applyAlignment="1">
      <alignment wrapText="1"/>
    </xf>
    <xf numFmtId="20" fontId="10" fillId="7" borderId="4" xfId="0" applyNumberFormat="1" applyFont="1" applyFill="1" applyBorder="1" applyAlignment="1">
      <alignment horizontal="center" wrapText="1"/>
    </xf>
    <xf numFmtId="0" fontId="10" fillId="12" borderId="10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vertical="center" wrapText="1"/>
    </xf>
    <xf numFmtId="0" fontId="10" fillId="7" borderId="12" xfId="0" applyFont="1" applyFill="1" applyBorder="1" applyAlignment="1">
      <alignment horizontal="left" vertical="top" wrapText="1"/>
    </xf>
    <xf numFmtId="0" fontId="19" fillId="13" borderId="8" xfId="0" applyFont="1" applyFill="1" applyBorder="1"/>
    <xf numFmtId="0" fontId="19" fillId="13" borderId="8" xfId="0" applyFont="1" applyFill="1" applyBorder="1" applyAlignment="1">
      <alignment vertical="center"/>
    </xf>
    <xf numFmtId="1" fontId="18" fillId="13" borderId="12" xfId="0" applyNumberFormat="1" applyFont="1" applyFill="1" applyBorder="1" applyAlignment="1">
      <alignment horizontal="center" vertical="center"/>
    </xf>
    <xf numFmtId="166" fontId="20" fillId="13" borderId="8" xfId="0" applyNumberFormat="1" applyFont="1" applyFill="1" applyBorder="1"/>
    <xf numFmtId="166" fontId="20" fillId="13" borderId="4" xfId="0" applyNumberFormat="1" applyFont="1" applyFill="1" applyBorder="1" applyAlignment="1">
      <alignment horizontal="center" vertical="top" wrapText="1"/>
    </xf>
    <xf numFmtId="166" fontId="20" fillId="13" borderId="4" xfId="0" applyNumberFormat="1" applyFont="1" applyFill="1" applyBorder="1" applyAlignment="1">
      <alignment horizontal="center" vertical="center" wrapText="1"/>
    </xf>
    <xf numFmtId="166" fontId="18" fillId="13" borderId="4" xfId="0" applyNumberFormat="1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wrapText="1"/>
    </xf>
    <xf numFmtId="0" fontId="19" fillId="14" borderId="8" xfId="0" applyFont="1" applyFill="1" applyBorder="1" applyAlignment="1">
      <alignment vertical="center"/>
    </xf>
    <xf numFmtId="0" fontId="19" fillId="14" borderId="11" xfId="0" applyFont="1" applyFill="1" applyBorder="1"/>
    <xf numFmtId="0" fontId="21" fillId="6" borderId="0" xfId="4" applyFont="1" applyFill="1"/>
    <xf numFmtId="168" fontId="10" fillId="14" borderId="12" xfId="0" applyNumberFormat="1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 vertical="top" wrapText="1"/>
    </xf>
    <xf numFmtId="0" fontId="10" fillId="14" borderId="4" xfId="0" applyFont="1" applyFill="1" applyBorder="1" applyAlignment="1">
      <alignment horizontal="center" vertical="center" wrapText="1"/>
    </xf>
    <xf numFmtId="0" fontId="10" fillId="14" borderId="4" xfId="0" applyFont="1" applyFill="1" applyBorder="1"/>
    <xf numFmtId="0" fontId="10" fillId="14" borderId="4" xfId="0" applyFont="1" applyFill="1" applyBorder="1" applyAlignment="1">
      <alignment vertical="top"/>
    </xf>
    <xf numFmtId="0" fontId="19" fillId="14" borderId="7" xfId="0" applyFont="1" applyFill="1" applyBorder="1"/>
    <xf numFmtId="20" fontId="19" fillId="14" borderId="4" xfId="0" applyNumberFormat="1" applyFont="1" applyFill="1" applyBorder="1" applyAlignment="1">
      <alignment horizontal="center"/>
    </xf>
    <xf numFmtId="168" fontId="19" fillId="14" borderId="12" xfId="0" applyNumberFormat="1" applyFont="1" applyFill="1" applyBorder="1" applyAlignment="1">
      <alignment horizontal="center" vertical="center"/>
    </xf>
    <xf numFmtId="20" fontId="10" fillId="14" borderId="4" xfId="0" applyNumberFormat="1" applyFont="1" applyFill="1" applyBorder="1" applyAlignment="1">
      <alignment horizontal="center"/>
    </xf>
    <xf numFmtId="0" fontId="19" fillId="14" borderId="8" xfId="0" applyFont="1" applyFill="1" applyBorder="1" applyAlignment="1">
      <alignment vertical="center" wrapText="1"/>
    </xf>
    <xf numFmtId="0" fontId="19" fillId="14" borderId="10" xfId="0" applyFont="1" applyFill="1" applyBorder="1" applyAlignment="1">
      <alignment vertical="center"/>
    </xf>
    <xf numFmtId="0" fontId="19" fillId="14" borderId="5" xfId="0" applyFont="1" applyFill="1" applyBorder="1"/>
    <xf numFmtId="0" fontId="19" fillId="14" borderId="13" xfId="0" applyFont="1" applyFill="1" applyBorder="1" applyAlignment="1">
      <alignment vertical="center"/>
    </xf>
    <xf numFmtId="0" fontId="19" fillId="14" borderId="4" xfId="0" applyFont="1" applyFill="1" applyBorder="1"/>
    <xf numFmtId="0" fontId="19" fillId="14" borderId="12" xfId="0" applyFont="1" applyFill="1" applyBorder="1" applyAlignment="1">
      <alignment horizontal="left" wrapText="1"/>
    </xf>
    <xf numFmtId="0" fontId="10" fillId="14" borderId="10" xfId="0" applyFont="1" applyFill="1" applyBorder="1" applyAlignment="1">
      <alignment vertical="center"/>
    </xf>
    <xf numFmtId="0" fontId="19" fillId="12" borderId="10" xfId="0" applyFont="1" applyFill="1" applyBorder="1" applyAlignment="1">
      <alignment vertical="center"/>
    </xf>
    <xf numFmtId="0" fontId="19" fillId="12" borderId="7" xfId="0" applyFont="1" applyFill="1" applyBorder="1"/>
    <xf numFmtId="0" fontId="19" fillId="14" borderId="2" xfId="0" applyFont="1" applyFill="1" applyBorder="1" applyAlignment="1">
      <alignment vertical="center"/>
    </xf>
    <xf numFmtId="0" fontId="10" fillId="9" borderId="4" xfId="0" applyFont="1" applyFill="1" applyBorder="1" applyAlignment="1" applyProtection="1">
      <alignment vertical="center" wrapText="1"/>
      <protection locked="0"/>
    </xf>
    <xf numFmtId="0" fontId="20" fillId="9" borderId="10" xfId="0" applyFont="1" applyFill="1" applyBorder="1" applyAlignment="1">
      <alignment vertical="center" wrapText="1"/>
    </xf>
    <xf numFmtId="0" fontId="20" fillId="9" borderId="12" xfId="0" applyFont="1" applyFill="1" applyBorder="1" applyAlignment="1">
      <alignment wrapText="1"/>
    </xf>
    <xf numFmtId="1" fontId="18" fillId="9" borderId="4" xfId="0" applyNumberFormat="1" applyFont="1" applyFill="1" applyBorder="1" applyAlignment="1">
      <alignment horizontal="center" wrapText="1"/>
    </xf>
    <xf numFmtId="166" fontId="18" fillId="9" borderId="12" xfId="0" applyNumberFormat="1" applyFont="1" applyFill="1" applyBorder="1" applyAlignment="1">
      <alignment horizontal="center" vertical="center"/>
    </xf>
    <xf numFmtId="166" fontId="20" fillId="9" borderId="4" xfId="0" applyNumberFormat="1" applyFont="1" applyFill="1" applyBorder="1" applyAlignment="1">
      <alignment horizontal="center" vertical="top" wrapText="1"/>
    </xf>
    <xf numFmtId="166" fontId="20" fillId="9" borderId="4" xfId="0" applyNumberFormat="1" applyFont="1" applyFill="1" applyBorder="1" applyAlignment="1">
      <alignment horizontal="center" vertical="center" wrapText="1"/>
    </xf>
    <xf numFmtId="166" fontId="18" fillId="9" borderId="4" xfId="0" applyNumberFormat="1" applyFont="1" applyFill="1" applyBorder="1" applyAlignment="1">
      <alignment horizontal="center" vertical="center" wrapText="1"/>
    </xf>
    <xf numFmtId="0" fontId="10" fillId="9" borderId="0" xfId="0" applyFont="1" applyFill="1"/>
    <xf numFmtId="0" fontId="10" fillId="15" borderId="4" xfId="0" applyFont="1" applyFill="1" applyBorder="1" applyAlignment="1">
      <alignment horizontal="center" wrapText="1"/>
    </xf>
    <xf numFmtId="0" fontId="19" fillId="15" borderId="8" xfId="0" applyFont="1" applyFill="1" applyBorder="1" applyAlignment="1">
      <alignment vertical="center"/>
    </xf>
    <xf numFmtId="0" fontId="10" fillId="15" borderId="12" xfId="0" applyFont="1" applyFill="1" applyBorder="1" applyAlignment="1">
      <alignment wrapText="1"/>
    </xf>
    <xf numFmtId="20" fontId="10" fillId="15" borderId="4" xfId="0" applyNumberFormat="1" applyFont="1" applyFill="1" applyBorder="1" applyAlignment="1">
      <alignment horizontal="center" wrapText="1"/>
    </xf>
    <xf numFmtId="168" fontId="10" fillId="15" borderId="12" xfId="0" applyNumberFormat="1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top" wrapText="1"/>
    </xf>
    <xf numFmtId="0" fontId="10" fillId="15" borderId="4" xfId="0" applyFont="1" applyFill="1" applyBorder="1" applyAlignment="1">
      <alignment horizontal="center" vertical="center" wrapText="1"/>
    </xf>
    <xf numFmtId="0" fontId="10" fillId="15" borderId="4" xfId="0" applyFont="1" applyFill="1" applyBorder="1"/>
    <xf numFmtId="0" fontId="10" fillId="15" borderId="4" xfId="0" applyFont="1" applyFill="1" applyBorder="1" applyAlignment="1">
      <alignment vertical="center"/>
    </xf>
    <xf numFmtId="0" fontId="10" fillId="15" borderId="13" xfId="0" applyFont="1" applyFill="1" applyBorder="1" applyAlignment="1">
      <alignment wrapText="1"/>
    </xf>
    <xf numFmtId="0" fontId="10" fillId="15" borderId="4" xfId="0" applyFont="1" applyFill="1" applyBorder="1" applyAlignment="1">
      <alignment vertical="top"/>
    </xf>
    <xf numFmtId="0" fontId="19" fillId="15" borderId="10" xfId="0" applyFont="1" applyFill="1" applyBorder="1" applyAlignment="1">
      <alignment vertical="center"/>
    </xf>
    <xf numFmtId="0" fontId="45" fillId="4" borderId="0" xfId="3" applyFill="1"/>
    <xf numFmtId="20" fontId="10" fillId="15" borderId="4" xfId="0" applyNumberFormat="1" applyFont="1" applyFill="1" applyBorder="1" applyAlignment="1">
      <alignment horizontal="center" vertical="top" wrapText="1"/>
    </xf>
    <xf numFmtId="0" fontId="10" fillId="15" borderId="4" xfId="0" applyFont="1" applyFill="1" applyBorder="1" applyAlignment="1">
      <alignment wrapText="1"/>
    </xf>
    <xf numFmtId="0" fontId="19" fillId="15" borderId="12" xfId="0" applyFont="1" applyFill="1" applyBorder="1" applyAlignment="1">
      <alignment vertical="center" wrapText="1"/>
    </xf>
    <xf numFmtId="20" fontId="10" fillId="15" borderId="4" xfId="0" applyNumberFormat="1" applyFont="1" applyFill="1" applyBorder="1" applyAlignment="1">
      <alignment horizontal="center" vertical="center" wrapText="1"/>
    </xf>
    <xf numFmtId="0" fontId="20" fillId="10" borderId="4" xfId="0" applyFont="1" applyFill="1" applyBorder="1" applyAlignment="1" applyProtection="1">
      <alignment vertical="center" wrapText="1"/>
      <protection locked="0"/>
    </xf>
    <xf numFmtId="0" fontId="20" fillId="10" borderId="10" xfId="0" applyFont="1" applyFill="1" applyBorder="1" applyAlignment="1">
      <alignment vertical="center"/>
    </xf>
    <xf numFmtId="0" fontId="20" fillId="10" borderId="7" xfId="0" applyFont="1" applyFill="1" applyBorder="1"/>
    <xf numFmtId="166" fontId="18" fillId="10" borderId="12" xfId="0" applyNumberFormat="1" applyFont="1" applyFill="1" applyBorder="1" applyAlignment="1">
      <alignment horizontal="center" vertical="center" wrapText="1"/>
    </xf>
    <xf numFmtId="1" fontId="18" fillId="10" borderId="12" xfId="0" applyNumberFormat="1" applyFont="1" applyFill="1" applyBorder="1" applyAlignment="1">
      <alignment horizontal="center" vertical="center" wrapText="1"/>
    </xf>
    <xf numFmtId="166" fontId="20" fillId="10" borderId="4" xfId="0" applyNumberFormat="1" applyFont="1" applyFill="1" applyBorder="1" applyAlignment="1">
      <alignment horizontal="center" vertical="center" wrapText="1"/>
    </xf>
    <xf numFmtId="0" fontId="19" fillId="7" borderId="10" xfId="0" applyFont="1" applyFill="1" applyBorder="1" applyAlignment="1">
      <alignment vertical="center"/>
    </xf>
    <xf numFmtId="0" fontId="19" fillId="7" borderId="7" xfId="0" applyFont="1" applyFill="1" applyBorder="1"/>
    <xf numFmtId="169" fontId="10" fillId="7" borderId="4" xfId="0" applyNumberFormat="1" applyFont="1" applyFill="1" applyBorder="1" applyAlignment="1">
      <alignment horizontal="center" vertical="center" wrapText="1"/>
    </xf>
    <xf numFmtId="20" fontId="10" fillId="7" borderId="4" xfId="0" applyNumberFormat="1" applyFont="1" applyFill="1" applyBorder="1" applyAlignment="1">
      <alignment horizontal="center" vertical="center" wrapText="1"/>
    </xf>
    <xf numFmtId="20" fontId="10" fillId="7" borderId="4" xfId="0" applyNumberFormat="1" applyFont="1" applyFill="1" applyBorder="1" applyAlignment="1">
      <alignment horizontal="center" vertical="center"/>
    </xf>
    <xf numFmtId="0" fontId="10" fillId="7" borderId="8" xfId="4" applyFont="1" applyFill="1" applyBorder="1" applyAlignment="1">
      <alignment vertical="center" wrapText="1"/>
    </xf>
    <xf numFmtId="168" fontId="10" fillId="7" borderId="12" xfId="0" applyNumberFormat="1" applyFont="1" applyFill="1" applyBorder="1" applyAlignment="1">
      <alignment horizontal="center" vertical="top" wrapText="1"/>
    </xf>
    <xf numFmtId="0" fontId="19" fillId="7" borderId="8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wrapText="1"/>
    </xf>
    <xf numFmtId="0" fontId="10" fillId="11" borderId="10" xfId="0" applyFont="1" applyFill="1" applyBorder="1" applyAlignment="1">
      <alignment horizontal="center" wrapText="1"/>
    </xf>
    <xf numFmtId="0" fontId="10" fillId="7" borderId="9" xfId="0" applyFont="1" applyFill="1" applyBorder="1" applyAlignment="1">
      <alignment horizontal="left" wrapText="1"/>
    </xf>
    <xf numFmtId="0" fontId="20" fillId="16" borderId="10" xfId="0" applyFont="1" applyFill="1" applyBorder="1" applyAlignment="1">
      <alignment horizontal="left" vertical="center" wrapText="1"/>
    </xf>
    <xf numFmtId="166" fontId="18" fillId="16" borderId="10" xfId="0" applyNumberFormat="1" applyFont="1" applyFill="1" applyBorder="1" applyAlignment="1">
      <alignment horizontal="center" vertical="center" wrapText="1"/>
    </xf>
    <xf numFmtId="166" fontId="18" fillId="16" borderId="12" xfId="0" applyNumberFormat="1" applyFont="1" applyFill="1" applyBorder="1" applyAlignment="1">
      <alignment horizontal="center" vertical="center" wrapText="1"/>
    </xf>
    <xf numFmtId="1" fontId="18" fillId="16" borderId="12" xfId="0" applyNumberFormat="1" applyFont="1" applyFill="1" applyBorder="1" applyAlignment="1">
      <alignment horizontal="center" vertical="center" wrapText="1"/>
    </xf>
    <xf numFmtId="166" fontId="20" fillId="16" borderId="4" xfId="0" applyNumberFormat="1" applyFont="1" applyFill="1" applyBorder="1" applyAlignment="1">
      <alignment horizontal="center" vertical="center" wrapText="1"/>
    </xf>
    <xf numFmtId="166" fontId="20" fillId="16" borderId="4" xfId="0" applyNumberFormat="1" applyFont="1" applyFill="1" applyBorder="1" applyAlignment="1">
      <alignment horizontal="left" vertical="center" wrapText="1"/>
    </xf>
    <xf numFmtId="166" fontId="18" fillId="16" borderId="4" xfId="0" applyNumberFormat="1" applyFont="1" applyFill="1" applyBorder="1" applyAlignment="1">
      <alignment horizontal="center" vertical="center" wrapText="1"/>
    </xf>
    <xf numFmtId="20" fontId="10" fillId="0" borderId="0" xfId="0" applyNumberFormat="1" applyFont="1" applyAlignment="1">
      <alignment horizontal="left" vertical="center"/>
    </xf>
    <xf numFmtId="168" fontId="10" fillId="0" borderId="0" xfId="0" applyNumberFormat="1" applyFont="1" applyAlignment="1">
      <alignment horizontal="left" vertical="center"/>
    </xf>
    <xf numFmtId="0" fontId="10" fillId="17" borderId="10" xfId="0" applyFont="1" applyFill="1" applyBorder="1" applyAlignment="1">
      <alignment horizontal="left" vertical="center" wrapText="1"/>
    </xf>
    <xf numFmtId="0" fontId="10" fillId="17" borderId="4" xfId="0" applyFont="1" applyFill="1" applyBorder="1" applyAlignment="1">
      <alignment horizontal="center" wrapText="1"/>
    </xf>
    <xf numFmtId="0" fontId="10" fillId="17" borderId="10" xfId="0" applyFont="1" applyFill="1" applyBorder="1" applyAlignment="1">
      <alignment vertical="center" wrapText="1"/>
    </xf>
    <xf numFmtId="0" fontId="10" fillId="17" borderId="13" xfId="0" applyFont="1" applyFill="1" applyBorder="1" applyAlignment="1">
      <alignment wrapText="1"/>
    </xf>
    <xf numFmtId="20" fontId="10" fillId="17" borderId="4" xfId="0" applyNumberFormat="1" applyFont="1" applyFill="1" applyBorder="1" applyAlignment="1">
      <alignment horizontal="center" wrapText="1"/>
    </xf>
    <xf numFmtId="168" fontId="10" fillId="17" borderId="12" xfId="0" applyNumberFormat="1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top" wrapText="1"/>
    </xf>
    <xf numFmtId="0" fontId="10" fillId="17" borderId="4" xfId="0" applyFont="1" applyFill="1" applyBorder="1" applyAlignment="1">
      <alignment horizontal="center" vertical="center" wrapText="1"/>
    </xf>
    <xf numFmtId="0" fontId="10" fillId="17" borderId="4" xfId="0" applyFont="1" applyFill="1" applyBorder="1"/>
    <xf numFmtId="0" fontId="10" fillId="17" borderId="4" xfId="0" applyFont="1" applyFill="1" applyBorder="1" applyAlignment="1">
      <alignment vertical="top"/>
    </xf>
    <xf numFmtId="0" fontId="10" fillId="17" borderId="9" xfId="0" applyFont="1" applyFill="1" applyBorder="1" applyAlignment="1">
      <alignment horizontal="left" wrapText="1"/>
    </xf>
    <xf numFmtId="0" fontId="10" fillId="17" borderId="11" xfId="0" applyFont="1" applyFill="1" applyBorder="1" applyAlignment="1">
      <alignment horizontal="center" wrapText="1"/>
    </xf>
    <xf numFmtId="0" fontId="10" fillId="17" borderId="10" xfId="0" applyFont="1" applyFill="1" applyBorder="1" applyAlignment="1">
      <alignment wrapText="1"/>
    </xf>
    <xf numFmtId="0" fontId="10" fillId="17" borderId="2" xfId="0" applyFont="1" applyFill="1" applyBorder="1" applyAlignment="1">
      <alignment vertical="center" wrapText="1"/>
    </xf>
    <xf numFmtId="0" fontId="10" fillId="17" borderId="3" xfId="0" applyFont="1" applyFill="1" applyBorder="1" applyAlignment="1">
      <alignment wrapText="1"/>
    </xf>
    <xf numFmtId="20" fontId="10" fillId="17" borderId="14" xfId="0" applyNumberFormat="1" applyFont="1" applyFill="1" applyBorder="1" applyAlignment="1">
      <alignment horizontal="center" wrapText="1"/>
    </xf>
    <xf numFmtId="0" fontId="10" fillId="17" borderId="4" xfId="0" applyFont="1" applyFill="1" applyBorder="1" applyAlignment="1">
      <alignment horizontal="center" vertical="top"/>
    </xf>
    <xf numFmtId="1" fontId="20" fillId="9" borderId="12" xfId="0" applyNumberFormat="1" applyFont="1" applyFill="1" applyBorder="1" applyAlignment="1">
      <alignment wrapText="1"/>
    </xf>
    <xf numFmtId="1" fontId="20" fillId="9" borderId="10" xfId="0" applyNumberFormat="1" applyFont="1" applyFill="1" applyBorder="1" applyAlignment="1">
      <alignment vertical="center" wrapText="1"/>
    </xf>
    <xf numFmtId="1" fontId="20" fillId="9" borderId="4" xfId="0" applyNumberFormat="1" applyFont="1" applyFill="1" applyBorder="1" applyAlignment="1">
      <alignment wrapText="1"/>
    </xf>
    <xf numFmtId="1" fontId="18" fillId="9" borderId="4" xfId="0" applyNumberFormat="1" applyFont="1" applyFill="1" applyBorder="1" applyAlignment="1">
      <alignment horizontal="center" vertical="center" wrapText="1"/>
    </xf>
    <xf numFmtId="166" fontId="22" fillId="9" borderId="0" xfId="3" applyNumberFormat="1" applyFont="1" applyFill="1"/>
    <xf numFmtId="1" fontId="18" fillId="9" borderId="7" xfId="0" applyNumberFormat="1" applyFont="1" applyFill="1" applyBorder="1" applyAlignment="1">
      <alignment horizontal="center" vertical="center"/>
    </xf>
    <xf numFmtId="166" fontId="20" fillId="9" borderId="4" xfId="0" applyNumberFormat="1" applyFont="1" applyFill="1" applyBorder="1" applyAlignment="1">
      <alignment horizontal="center"/>
    </xf>
    <xf numFmtId="166" fontId="20" fillId="9" borderId="4" xfId="0" applyNumberFormat="1" applyFont="1" applyFill="1" applyBorder="1" applyAlignment="1">
      <alignment horizontal="center" vertical="center"/>
    </xf>
    <xf numFmtId="166" fontId="18" fillId="9" borderId="4" xfId="0" applyNumberFormat="1" applyFont="1" applyFill="1" applyBorder="1" applyAlignment="1">
      <alignment horizontal="center" vertical="center"/>
    </xf>
    <xf numFmtId="20" fontId="19" fillId="0" borderId="0" xfId="0" applyNumberFormat="1" applyFont="1"/>
    <xf numFmtId="0" fontId="19" fillId="0" borderId="0" xfId="0" applyFont="1"/>
    <xf numFmtId="0" fontId="10" fillId="18" borderId="4" xfId="0" applyFont="1" applyFill="1" applyBorder="1" applyAlignment="1">
      <alignment horizontal="left" vertical="center" wrapText="1"/>
    </xf>
    <xf numFmtId="0" fontId="10" fillId="18" borderId="11" xfId="0" applyFont="1" applyFill="1" applyBorder="1" applyAlignment="1">
      <alignment horizontal="center" wrapText="1"/>
    </xf>
    <xf numFmtId="0" fontId="10" fillId="18" borderId="4" xfId="0" applyFont="1" applyFill="1" applyBorder="1" applyAlignment="1">
      <alignment vertical="center"/>
    </xf>
    <xf numFmtId="0" fontId="10" fillId="18" borderId="4" xfId="0" applyFont="1" applyFill="1" applyBorder="1"/>
    <xf numFmtId="20" fontId="10" fillId="18" borderId="4" xfId="0" applyNumberFormat="1" applyFont="1" applyFill="1" applyBorder="1" applyAlignment="1">
      <alignment horizontal="center"/>
    </xf>
    <xf numFmtId="168" fontId="10" fillId="18" borderId="12" xfId="0" applyNumberFormat="1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/>
    </xf>
    <xf numFmtId="0" fontId="10" fillId="18" borderId="4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vertical="top"/>
    </xf>
    <xf numFmtId="0" fontId="10" fillId="18" borderId="14" xfId="0" applyFont="1" applyFill="1" applyBorder="1" applyAlignment="1">
      <alignment horizontal="left" vertical="center" wrapText="1"/>
    </xf>
    <xf numFmtId="0" fontId="20" fillId="13" borderId="4" xfId="0" applyFont="1" applyFill="1" applyBorder="1" applyAlignment="1">
      <alignment wrapText="1"/>
    </xf>
    <xf numFmtId="0" fontId="20" fillId="13" borderId="4" xfId="0" applyFont="1" applyFill="1" applyBorder="1" applyAlignment="1">
      <alignment vertical="center" wrapText="1"/>
    </xf>
    <xf numFmtId="1" fontId="18" fillId="13" borderId="4" xfId="0" applyNumberFormat="1" applyFont="1" applyFill="1" applyBorder="1" applyAlignment="1">
      <alignment horizontal="center" vertical="center" wrapText="1"/>
    </xf>
    <xf numFmtId="166" fontId="22" fillId="13" borderId="0" xfId="3" applyNumberFormat="1" applyFont="1" applyFill="1"/>
    <xf numFmtId="1" fontId="18" fillId="13" borderId="7" xfId="0" applyNumberFormat="1" applyFont="1" applyFill="1" applyBorder="1" applyAlignment="1">
      <alignment horizontal="center" vertical="center"/>
    </xf>
    <xf numFmtId="166" fontId="20" fillId="13" borderId="4" xfId="0" applyNumberFormat="1" applyFont="1" applyFill="1" applyBorder="1" applyAlignment="1">
      <alignment horizontal="center"/>
    </xf>
    <xf numFmtId="166" fontId="20" fillId="13" borderId="4" xfId="0" applyNumberFormat="1" applyFont="1" applyFill="1" applyBorder="1" applyAlignment="1">
      <alignment horizontal="center" vertical="center"/>
    </xf>
    <xf numFmtId="2" fontId="18" fillId="13" borderId="4" xfId="0" applyNumberFormat="1" applyFont="1" applyFill="1" applyBorder="1" applyAlignment="1">
      <alignment horizontal="center" vertical="center"/>
    </xf>
    <xf numFmtId="20" fontId="20" fillId="0" borderId="0" xfId="0" applyNumberFormat="1" applyFont="1"/>
    <xf numFmtId="0" fontId="20" fillId="0" borderId="0" xfId="0" applyFont="1"/>
    <xf numFmtId="0" fontId="10" fillId="19" borderId="4" xfId="0" applyFont="1" applyFill="1" applyBorder="1" applyAlignment="1">
      <alignment horizontal="center" vertical="center" wrapText="1"/>
    </xf>
    <xf numFmtId="0" fontId="10" fillId="19" borderId="12" xfId="0" applyFont="1" applyFill="1" applyBorder="1" applyAlignment="1">
      <alignment vertical="center" wrapText="1"/>
    </xf>
    <xf numFmtId="0" fontId="19" fillId="19" borderId="4" xfId="0" applyFont="1" applyFill="1" applyBorder="1"/>
    <xf numFmtId="20" fontId="10" fillId="19" borderId="4" xfId="0" applyNumberFormat="1" applyFont="1" applyFill="1" applyBorder="1" applyAlignment="1">
      <alignment horizontal="center"/>
    </xf>
    <xf numFmtId="168" fontId="10" fillId="19" borderId="12" xfId="0" applyNumberFormat="1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center"/>
    </xf>
    <xf numFmtId="0" fontId="10" fillId="19" borderId="4" xfId="0" applyFont="1" applyFill="1" applyBorder="1" applyAlignment="1">
      <alignment horizontal="center" vertical="center"/>
    </xf>
    <xf numFmtId="0" fontId="10" fillId="19" borderId="4" xfId="0" applyFont="1" applyFill="1" applyBorder="1"/>
    <xf numFmtId="0" fontId="10" fillId="19" borderId="4" xfId="0" applyFont="1" applyFill="1" applyBorder="1" applyAlignment="1">
      <alignment vertical="top"/>
    </xf>
    <xf numFmtId="0" fontId="19" fillId="19" borderId="1" xfId="0" applyFont="1" applyFill="1" applyBorder="1" applyAlignment="1">
      <alignment horizontal="left" vertical="center" wrapText="1"/>
    </xf>
    <xf numFmtId="0" fontId="19" fillId="19" borderId="9" xfId="0" applyFont="1" applyFill="1" applyBorder="1" applyAlignment="1">
      <alignment vertical="center"/>
    </xf>
    <xf numFmtId="0" fontId="19" fillId="19" borderId="13" xfId="0" applyFont="1" applyFill="1" applyBorder="1" applyAlignment="1">
      <alignment vertical="center"/>
    </xf>
    <xf numFmtId="0" fontId="20" fillId="20" borderId="4" xfId="0" applyFont="1" applyFill="1" applyBorder="1" applyAlignment="1">
      <alignment wrapText="1"/>
    </xf>
    <xf numFmtId="0" fontId="20" fillId="20" borderId="4" xfId="0" applyFont="1" applyFill="1" applyBorder="1" applyAlignment="1">
      <alignment vertical="center" wrapText="1"/>
    </xf>
    <xf numFmtId="1" fontId="18" fillId="20" borderId="4" xfId="0" applyNumberFormat="1" applyFont="1" applyFill="1" applyBorder="1" applyAlignment="1">
      <alignment horizontal="center" vertical="center" wrapText="1"/>
    </xf>
    <xf numFmtId="166" fontId="22" fillId="20" borderId="0" xfId="3" applyNumberFormat="1" applyFont="1" applyFill="1"/>
    <xf numFmtId="1" fontId="18" fillId="20" borderId="12" xfId="0" applyNumberFormat="1" applyFont="1" applyFill="1" applyBorder="1" applyAlignment="1">
      <alignment horizontal="center" vertical="center"/>
    </xf>
    <xf numFmtId="166" fontId="20" fillId="20" borderId="4" xfId="0" applyNumberFormat="1" applyFont="1" applyFill="1" applyBorder="1" applyAlignment="1">
      <alignment horizontal="center"/>
    </xf>
    <xf numFmtId="166" fontId="20" fillId="20" borderId="4" xfId="0" applyNumberFormat="1" applyFont="1" applyFill="1" applyBorder="1" applyAlignment="1">
      <alignment horizontal="center" vertical="center"/>
    </xf>
    <xf numFmtId="166" fontId="18" fillId="20" borderId="4" xfId="0" applyNumberFormat="1" applyFont="1" applyFill="1" applyBorder="1" applyAlignment="1">
      <alignment horizontal="center" vertical="center"/>
    </xf>
    <xf numFmtId="0" fontId="10" fillId="21" borderId="4" xfId="0" applyFont="1" applyFill="1" applyBorder="1" applyAlignment="1">
      <alignment horizontal="left" vertical="center" wrapText="1"/>
    </xf>
    <xf numFmtId="0" fontId="10" fillId="21" borderId="4" xfId="0" applyFont="1" applyFill="1" applyBorder="1" applyAlignment="1">
      <alignment horizontal="center" vertical="center" wrapText="1"/>
    </xf>
    <xf numFmtId="0" fontId="10" fillId="21" borderId="4" xfId="0" applyFont="1" applyFill="1" applyBorder="1" applyAlignment="1">
      <alignment vertical="center"/>
    </xf>
    <xf numFmtId="0" fontId="10" fillId="21" borderId="4" xfId="0" applyFont="1" applyFill="1" applyBorder="1"/>
    <xf numFmtId="20" fontId="10" fillId="21" borderId="4" xfId="0" applyNumberFormat="1" applyFont="1" applyFill="1" applyBorder="1" applyAlignment="1">
      <alignment horizontal="center"/>
    </xf>
    <xf numFmtId="168" fontId="10" fillId="22" borderId="12" xfId="0" applyNumberFormat="1" applyFont="1" applyFill="1" applyBorder="1" applyAlignment="1">
      <alignment horizontal="center" vertical="center"/>
    </xf>
    <xf numFmtId="0" fontId="10" fillId="22" borderId="4" xfId="0" applyFont="1" applyFill="1" applyBorder="1" applyAlignment="1">
      <alignment horizontal="center"/>
    </xf>
    <xf numFmtId="0" fontId="10" fillId="22" borderId="4" xfId="0" applyFont="1" applyFill="1" applyBorder="1" applyAlignment="1">
      <alignment horizontal="center" vertical="center"/>
    </xf>
    <xf numFmtId="0" fontId="10" fillId="22" borderId="4" xfId="0" applyFont="1" applyFill="1" applyBorder="1"/>
    <xf numFmtId="0" fontId="10" fillId="22" borderId="4" xfId="0" applyFont="1" applyFill="1" applyBorder="1" applyAlignment="1">
      <alignment vertical="top"/>
    </xf>
    <xf numFmtId="0" fontId="10" fillId="21" borderId="4" xfId="0" applyFont="1" applyFill="1" applyBorder="1" applyAlignment="1">
      <alignment vertical="center" wrapText="1"/>
    </xf>
    <xf numFmtId="0" fontId="20" fillId="9" borderId="4" xfId="0" applyFont="1" applyFill="1" applyBorder="1" applyAlignment="1">
      <alignment wrapText="1"/>
    </xf>
    <xf numFmtId="0" fontId="20" fillId="9" borderId="4" xfId="0" applyFont="1" applyFill="1" applyBorder="1" applyAlignment="1">
      <alignment vertical="center" wrapText="1"/>
    </xf>
    <xf numFmtId="1" fontId="18" fillId="9" borderId="5" xfId="0" applyNumberFormat="1" applyFont="1" applyFill="1" applyBorder="1" applyAlignment="1">
      <alignment horizontal="center" vertical="center"/>
    </xf>
    <xf numFmtId="0" fontId="24" fillId="4" borderId="0" xfId="0" applyFont="1" applyFill="1"/>
    <xf numFmtId="0" fontId="10" fillId="23" borderId="4" xfId="0" applyFont="1" applyFill="1" applyBorder="1" applyAlignment="1">
      <alignment horizontal="center" vertical="center"/>
    </xf>
    <xf numFmtId="0" fontId="10" fillId="23" borderId="4" xfId="0" applyFont="1" applyFill="1" applyBorder="1" applyAlignment="1">
      <alignment horizontal="left" vertical="center" wrapText="1"/>
    </xf>
    <xf numFmtId="0" fontId="10" fillId="23" borderId="4" xfId="0" applyFont="1" applyFill="1" applyBorder="1" applyAlignment="1">
      <alignment horizontal="center" vertical="center" wrapText="1"/>
    </xf>
    <xf numFmtId="0" fontId="10" fillId="23" borderId="4" xfId="0" applyFont="1" applyFill="1" applyBorder="1" applyAlignment="1">
      <alignment vertical="center"/>
    </xf>
    <xf numFmtId="0" fontId="10" fillId="23" borderId="4" xfId="0" applyFont="1" applyFill="1" applyBorder="1"/>
    <xf numFmtId="20" fontId="10" fillId="23" borderId="4" xfId="0" applyNumberFormat="1" applyFont="1" applyFill="1" applyBorder="1" applyAlignment="1">
      <alignment horizontal="center"/>
    </xf>
    <xf numFmtId="168" fontId="10" fillId="23" borderId="12" xfId="0" applyNumberFormat="1" applyFont="1" applyFill="1" applyBorder="1" applyAlignment="1">
      <alignment horizontal="center" vertical="center"/>
    </xf>
    <xf numFmtId="0" fontId="10" fillId="23" borderId="4" xfId="0" applyFont="1" applyFill="1" applyBorder="1" applyAlignment="1">
      <alignment horizontal="center"/>
    </xf>
    <xf numFmtId="0" fontId="10" fillId="23" borderId="4" xfId="0" applyFont="1" applyFill="1" applyBorder="1" applyAlignment="1">
      <alignment vertical="top"/>
    </xf>
    <xf numFmtId="0" fontId="20" fillId="24" borderId="14" xfId="0" applyFont="1" applyFill="1" applyBorder="1" applyAlignment="1">
      <alignment wrapText="1"/>
    </xf>
    <xf numFmtId="0" fontId="20" fillId="24" borderId="14" xfId="0" applyFont="1" applyFill="1" applyBorder="1" applyAlignment="1">
      <alignment vertical="center" wrapText="1"/>
    </xf>
    <xf numFmtId="1" fontId="18" fillId="24" borderId="14" xfId="0" applyNumberFormat="1" applyFont="1" applyFill="1" applyBorder="1" applyAlignment="1">
      <alignment horizontal="center" vertical="center" wrapText="1"/>
    </xf>
    <xf numFmtId="166" fontId="22" fillId="24" borderId="0" xfId="3" applyNumberFormat="1" applyFont="1" applyFill="1"/>
    <xf numFmtId="1" fontId="18" fillId="24" borderId="5" xfId="0" applyNumberFormat="1" applyFont="1" applyFill="1" applyBorder="1" applyAlignment="1">
      <alignment horizontal="center" vertical="center"/>
    </xf>
    <xf numFmtId="166" fontId="20" fillId="24" borderId="14" xfId="0" applyNumberFormat="1" applyFont="1" applyFill="1" applyBorder="1" applyAlignment="1">
      <alignment horizontal="center"/>
    </xf>
    <xf numFmtId="166" fontId="20" fillId="24" borderId="14" xfId="0" applyNumberFormat="1" applyFont="1" applyFill="1" applyBorder="1" applyAlignment="1">
      <alignment horizontal="center" vertical="center"/>
    </xf>
    <xf numFmtId="166" fontId="18" fillId="24" borderId="14" xfId="0" applyNumberFormat="1" applyFont="1" applyFill="1" applyBorder="1" applyAlignment="1">
      <alignment horizontal="center" vertical="center"/>
    </xf>
    <xf numFmtId="0" fontId="10" fillId="25" borderId="4" xfId="0" applyFont="1" applyFill="1" applyBorder="1" applyAlignment="1">
      <alignment horizontal="center" vertical="center"/>
    </xf>
    <xf numFmtId="0" fontId="10" fillId="25" borderId="4" xfId="0" applyFont="1" applyFill="1" applyBorder="1" applyAlignment="1">
      <alignment horizontal="center" vertical="center" wrapText="1"/>
    </xf>
    <xf numFmtId="0" fontId="10" fillId="25" borderId="4" xfId="0" applyFont="1" applyFill="1" applyBorder="1" applyAlignment="1">
      <alignment vertical="center"/>
    </xf>
    <xf numFmtId="0" fontId="10" fillId="25" borderId="4" xfId="0" applyFont="1" applyFill="1" applyBorder="1"/>
    <xf numFmtId="20" fontId="10" fillId="25" borderId="4" xfId="0" applyNumberFormat="1" applyFont="1" applyFill="1" applyBorder="1" applyAlignment="1">
      <alignment horizontal="center"/>
    </xf>
    <xf numFmtId="168" fontId="10" fillId="25" borderId="4" xfId="0" applyNumberFormat="1" applyFont="1" applyFill="1" applyBorder="1" applyAlignment="1">
      <alignment horizontal="center" vertical="center"/>
    </xf>
    <xf numFmtId="0" fontId="10" fillId="25" borderId="4" xfId="0" applyFont="1" applyFill="1" applyBorder="1" applyAlignment="1">
      <alignment horizontal="center"/>
    </xf>
    <xf numFmtId="0" fontId="10" fillId="25" borderId="4" xfId="0" applyFont="1" applyFill="1" applyBorder="1" applyAlignment="1">
      <alignment vertical="top"/>
    </xf>
    <xf numFmtId="0" fontId="20" fillId="26" borderId="14" xfId="0" applyFont="1" applyFill="1" applyBorder="1" applyAlignment="1">
      <alignment wrapText="1"/>
    </xf>
    <xf numFmtId="0" fontId="20" fillId="26" borderId="14" xfId="0" applyFont="1" applyFill="1" applyBorder="1" applyAlignment="1">
      <alignment vertical="center" wrapText="1"/>
    </xf>
    <xf numFmtId="1" fontId="18" fillId="26" borderId="14" xfId="0" applyNumberFormat="1" applyFont="1" applyFill="1" applyBorder="1" applyAlignment="1">
      <alignment horizontal="center" vertical="center" wrapText="1"/>
    </xf>
    <xf numFmtId="166" fontId="22" fillId="26" borderId="0" xfId="3" applyNumberFormat="1" applyFont="1" applyFill="1"/>
    <xf numFmtId="1" fontId="18" fillId="26" borderId="5" xfId="0" applyNumberFormat="1" applyFont="1" applyFill="1" applyBorder="1" applyAlignment="1">
      <alignment horizontal="center" vertical="center"/>
    </xf>
    <xf numFmtId="166" fontId="20" fillId="26" borderId="14" xfId="0" applyNumberFormat="1" applyFont="1" applyFill="1" applyBorder="1" applyAlignment="1">
      <alignment horizontal="center"/>
    </xf>
    <xf numFmtId="166" fontId="20" fillId="26" borderId="14" xfId="0" applyNumberFormat="1" applyFont="1" applyFill="1" applyBorder="1" applyAlignment="1">
      <alignment horizontal="center" vertical="center"/>
    </xf>
    <xf numFmtId="166" fontId="18" fillId="26" borderId="14" xfId="0" applyNumberFormat="1" applyFont="1" applyFill="1" applyBorder="1" applyAlignment="1">
      <alignment horizontal="center" vertical="center"/>
    </xf>
    <xf numFmtId="0" fontId="10" fillId="26" borderId="0" xfId="0" applyFont="1" applyFill="1"/>
    <xf numFmtId="0" fontId="20" fillId="27" borderId="14" xfId="0" applyFont="1" applyFill="1" applyBorder="1" applyAlignment="1">
      <alignment wrapText="1"/>
    </xf>
    <xf numFmtId="0" fontId="20" fillId="27" borderId="14" xfId="0" applyFont="1" applyFill="1" applyBorder="1" applyAlignment="1">
      <alignment vertical="center" wrapText="1"/>
    </xf>
    <xf numFmtId="1" fontId="18" fillId="27" borderId="14" xfId="0" applyNumberFormat="1" applyFont="1" applyFill="1" applyBorder="1" applyAlignment="1">
      <alignment horizontal="center" vertical="center" wrapText="1"/>
    </xf>
    <xf numFmtId="166" fontId="22" fillId="27" borderId="0" xfId="3" applyNumberFormat="1" applyFont="1" applyFill="1"/>
    <xf numFmtId="1" fontId="18" fillId="27" borderId="5" xfId="0" applyNumberFormat="1" applyFont="1" applyFill="1" applyBorder="1" applyAlignment="1">
      <alignment horizontal="center" vertical="center"/>
    </xf>
    <xf numFmtId="166" fontId="20" fillId="27" borderId="14" xfId="0" applyNumberFormat="1" applyFont="1" applyFill="1" applyBorder="1" applyAlignment="1">
      <alignment horizontal="center"/>
    </xf>
    <xf numFmtId="166" fontId="20" fillId="27" borderId="14" xfId="0" applyNumberFormat="1" applyFont="1" applyFill="1" applyBorder="1" applyAlignment="1">
      <alignment horizontal="center" vertical="center"/>
    </xf>
    <xf numFmtId="166" fontId="18" fillId="27" borderId="14" xfId="0" applyNumberFormat="1" applyFont="1" applyFill="1" applyBorder="1" applyAlignment="1">
      <alignment horizontal="center" vertical="center"/>
    </xf>
    <xf numFmtId="0" fontId="10" fillId="27" borderId="0" xfId="0" applyFont="1" applyFill="1"/>
    <xf numFmtId="0" fontId="10" fillId="28" borderId="4" xfId="0" applyFont="1" applyFill="1" applyBorder="1" applyAlignment="1">
      <alignment horizontal="center" vertical="center" wrapText="1"/>
    </xf>
    <xf numFmtId="0" fontId="10" fillId="28" borderId="4" xfId="0" applyFont="1" applyFill="1" applyBorder="1" applyAlignment="1">
      <alignment vertical="center"/>
    </xf>
    <xf numFmtId="0" fontId="10" fillId="28" borderId="4" xfId="0" applyFont="1" applyFill="1" applyBorder="1"/>
    <xf numFmtId="20" fontId="10" fillId="28" borderId="4" xfId="0" applyNumberFormat="1" applyFont="1" applyFill="1" applyBorder="1" applyAlignment="1">
      <alignment horizontal="center"/>
    </xf>
    <xf numFmtId="0" fontId="10" fillId="28" borderId="10" xfId="0" applyFont="1" applyFill="1" applyBorder="1" applyAlignment="1">
      <alignment horizontal="center" vertical="center" wrapText="1"/>
    </xf>
    <xf numFmtId="0" fontId="20" fillId="29" borderId="14" xfId="0" applyFont="1" applyFill="1" applyBorder="1" applyAlignment="1">
      <alignment wrapText="1"/>
    </xf>
    <xf numFmtId="0" fontId="20" fillId="29" borderId="14" xfId="0" applyFont="1" applyFill="1" applyBorder="1" applyAlignment="1">
      <alignment vertical="center" wrapText="1"/>
    </xf>
    <xf numFmtId="1" fontId="18" fillId="29" borderId="14" xfId="0" applyNumberFormat="1" applyFont="1" applyFill="1" applyBorder="1" applyAlignment="1">
      <alignment horizontal="center" vertical="center" wrapText="1"/>
    </xf>
    <xf numFmtId="0" fontId="10" fillId="29" borderId="0" xfId="0" applyFont="1" applyFill="1"/>
    <xf numFmtId="0" fontId="10" fillId="29" borderId="0" xfId="0" applyFont="1" applyFill="1" applyAlignment="1">
      <alignment horizontal="center"/>
    </xf>
    <xf numFmtId="0" fontId="10" fillId="29" borderId="0" xfId="0" applyFont="1" applyFill="1" applyAlignment="1">
      <alignment horizontal="center" vertical="center"/>
    </xf>
    <xf numFmtId="166" fontId="18" fillId="29" borderId="0" xfId="0" applyNumberFormat="1" applyFont="1" applyFill="1" applyAlignment="1">
      <alignment horizontal="center"/>
    </xf>
    <xf numFmtId="0" fontId="10" fillId="18" borderId="4" xfId="0" applyFont="1" applyFill="1" applyBorder="1" applyAlignment="1">
      <alignment horizontal="center" vertical="center" wrapText="1"/>
    </xf>
    <xf numFmtId="0" fontId="10" fillId="18" borderId="2" xfId="0" applyFont="1" applyFill="1" applyBorder="1" applyAlignment="1">
      <alignment horizontal="left" vertical="center" wrapText="1"/>
    </xf>
    <xf numFmtId="0" fontId="10" fillId="18" borderId="10" xfId="0" applyFont="1" applyFill="1" applyBorder="1" applyAlignment="1">
      <alignment horizontal="center" vertical="center" wrapText="1"/>
    </xf>
    <xf numFmtId="0" fontId="0" fillId="30" borderId="0" xfId="0" applyFill="1"/>
    <xf numFmtId="0" fontId="0" fillId="12" borderId="0" xfId="0" applyFill="1"/>
    <xf numFmtId="0" fontId="0" fillId="0" borderId="0" xfId="0" applyAlignment="1">
      <alignment horizontal="center" vertical="center"/>
    </xf>
    <xf numFmtId="0" fontId="45" fillId="0" borderId="0" xfId="3" applyAlignment="1">
      <alignment horizontal="center" vertical="center"/>
    </xf>
    <xf numFmtId="167" fontId="45" fillId="0" borderId="0" xfId="3" applyNumberFormat="1" applyAlignment="1">
      <alignment horizontal="center" vertical="center"/>
    </xf>
    <xf numFmtId="0" fontId="4" fillId="4" borderId="21" xfId="3" applyFont="1" applyFill="1" applyBorder="1" applyAlignment="1">
      <alignment horizontal="center" vertical="center" wrapText="1"/>
    </xf>
    <xf numFmtId="167" fontId="45" fillId="4" borderId="22" xfId="3" applyNumberFormat="1" applyFill="1" applyBorder="1" applyAlignment="1">
      <alignment horizontal="center" vertical="center" wrapText="1"/>
    </xf>
    <xf numFmtId="167" fontId="45" fillId="0" borderId="22" xfId="3" applyNumberFormat="1" applyBorder="1" applyAlignment="1">
      <alignment horizontal="center" vertical="center" wrapText="1"/>
    </xf>
    <xf numFmtId="0" fontId="45" fillId="6" borderId="4" xfId="3" applyFill="1" applyBorder="1" applyAlignment="1">
      <alignment horizontal="center" vertical="center" textRotation="90" wrapText="1"/>
    </xf>
    <xf numFmtId="0" fontId="45" fillId="31" borderId="4" xfId="3" applyFill="1" applyBorder="1" applyAlignment="1">
      <alignment horizontal="center" vertical="center" textRotation="90" wrapText="1"/>
    </xf>
    <xf numFmtId="0" fontId="45" fillId="32" borderId="4" xfId="3" applyFill="1" applyBorder="1" applyAlignment="1">
      <alignment horizontal="center" vertical="center" textRotation="90" wrapText="1"/>
    </xf>
    <xf numFmtId="0" fontId="45" fillId="33" borderId="4" xfId="3" applyFill="1" applyBorder="1" applyAlignment="1">
      <alignment horizontal="center" vertical="center" textRotation="90" wrapText="1"/>
    </xf>
    <xf numFmtId="0" fontId="45" fillId="7" borderId="4" xfId="3" applyFill="1" applyBorder="1" applyAlignment="1">
      <alignment horizontal="center" vertical="center" textRotation="90" wrapText="1"/>
    </xf>
    <xf numFmtId="167" fontId="45" fillId="0" borderId="0" xfId="3" applyNumberFormat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45" fillId="15" borderId="21" xfId="3" applyFill="1" applyBorder="1" applyAlignment="1">
      <alignment horizontal="center" vertical="center" wrapText="1"/>
    </xf>
    <xf numFmtId="167" fontId="45" fillId="4" borderId="21" xfId="3" applyNumberFormat="1" applyFill="1" applyBorder="1" applyAlignment="1" applyProtection="1">
      <alignment horizontal="center" vertical="center"/>
      <protection locked="0"/>
    </xf>
    <xf numFmtId="167" fontId="45" fillId="0" borderId="21" xfId="3" applyNumberFormat="1" applyBorder="1" applyAlignment="1" applyProtection="1">
      <alignment horizontal="center" vertical="center"/>
      <protection locked="0"/>
    </xf>
    <xf numFmtId="0" fontId="0" fillId="4" borderId="23" xfId="0" applyFill="1" applyBorder="1" applyAlignment="1" applyProtection="1">
      <alignment horizontal="center" vertical="center"/>
      <protection locked="0"/>
    </xf>
    <xf numFmtId="167" fontId="45" fillId="4" borderId="22" xfId="3" applyNumberFormat="1" applyFill="1" applyBorder="1" applyAlignment="1" applyProtection="1">
      <alignment horizontal="center" vertical="center"/>
      <protection locked="0"/>
    </xf>
    <xf numFmtId="167" fontId="45" fillId="0" borderId="22" xfId="3" applyNumberFormat="1" applyBorder="1" applyAlignment="1" applyProtection="1">
      <alignment horizontal="center" vertical="center"/>
      <protection locked="0"/>
    </xf>
    <xf numFmtId="167" fontId="0" fillId="4" borderId="22" xfId="0" applyNumberFormat="1" applyFill="1" applyBorder="1" applyAlignment="1">
      <alignment horizontal="center" vertical="center"/>
    </xf>
    <xf numFmtId="0" fontId="45" fillId="4" borderId="21" xfId="3" applyFill="1" applyBorder="1" applyAlignment="1">
      <alignment horizontal="center" vertical="center" wrapText="1"/>
    </xf>
    <xf numFmtId="0" fontId="45" fillId="4" borderId="28" xfId="3" applyFill="1" applyBorder="1" applyAlignment="1">
      <alignment horizontal="center" vertical="center" wrapText="1"/>
    </xf>
    <xf numFmtId="0" fontId="45" fillId="0" borderId="21" xfId="3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45" fillId="12" borderId="21" xfId="3" applyFill="1" applyBorder="1" applyAlignment="1">
      <alignment horizontal="center" vertical="center" wrapText="1"/>
    </xf>
    <xf numFmtId="0" fontId="45" fillId="34" borderId="21" xfId="3" applyFill="1" applyBorder="1" applyAlignment="1">
      <alignment horizontal="center" vertical="center" wrapText="1"/>
    </xf>
    <xf numFmtId="0" fontId="45" fillId="24" borderId="21" xfId="3" applyFill="1" applyBorder="1" applyAlignment="1">
      <alignment horizontal="center" vertical="center" wrapText="1"/>
    </xf>
    <xf numFmtId="0" fontId="45" fillId="21" borderId="21" xfId="3" applyFill="1" applyBorder="1" applyAlignment="1">
      <alignment horizontal="center" vertical="center" wrapText="1"/>
    </xf>
    <xf numFmtId="168" fontId="45" fillId="0" borderId="0" xfId="3" applyNumberFormat="1" applyAlignment="1">
      <alignment horizontal="center" vertical="center"/>
    </xf>
    <xf numFmtId="167" fontId="45" fillId="4" borderId="22" xfId="3" applyNumberFormat="1" applyFill="1" applyBorder="1" applyAlignment="1" applyProtection="1">
      <alignment vertical="center"/>
      <protection locked="0"/>
    </xf>
    <xf numFmtId="167" fontId="0" fillId="4" borderId="22" xfId="0" applyNumberFormat="1" applyFill="1" applyBorder="1" applyAlignment="1">
      <alignment vertical="center"/>
    </xf>
    <xf numFmtId="167" fontId="45" fillId="0" borderId="22" xfId="3" applyNumberFormat="1" applyBorder="1" applyAlignment="1" applyProtection="1">
      <alignment vertical="center"/>
      <protection locked="0"/>
    </xf>
    <xf numFmtId="20" fontId="0" fillId="4" borderId="21" xfId="0" applyNumberFormat="1" applyFill="1" applyBorder="1"/>
    <xf numFmtId="20" fontId="0" fillId="4" borderId="23" xfId="0" applyNumberFormat="1" applyFill="1" applyBorder="1"/>
    <xf numFmtId="20" fontId="0" fillId="4" borderId="36" xfId="0" applyNumberFormat="1" applyFill="1" applyBorder="1"/>
    <xf numFmtId="20" fontId="0" fillId="35" borderId="22" xfId="0" applyNumberFormat="1" applyFill="1" applyBorder="1"/>
    <xf numFmtId="20" fontId="0" fillId="4" borderId="37" xfId="0" applyNumberFormat="1" applyFill="1" applyBorder="1"/>
    <xf numFmtId="20" fontId="0" fillId="36" borderId="22" xfId="0" applyNumberFormat="1" applyFill="1" applyBorder="1"/>
    <xf numFmtId="20" fontId="0" fillId="37" borderId="22" xfId="0" applyNumberFormat="1" applyFill="1" applyBorder="1"/>
    <xf numFmtId="0" fontId="0" fillId="4" borderId="37" xfId="0" applyFill="1" applyBorder="1"/>
    <xf numFmtId="0" fontId="0" fillId="4" borderId="36" xfId="0" applyFill="1" applyBorder="1"/>
    <xf numFmtId="20" fontId="0" fillId="40" borderId="22" xfId="0" applyNumberFormat="1" applyFill="1" applyBorder="1"/>
    <xf numFmtId="167" fontId="4" fillId="4" borderId="22" xfId="3" applyNumberFormat="1" applyFont="1" applyFill="1" applyBorder="1" applyAlignment="1" applyProtection="1">
      <alignment horizontal="center" vertical="center"/>
      <protection locked="0"/>
    </xf>
    <xf numFmtId="0" fontId="25" fillId="9" borderId="4" xfId="0" applyFont="1" applyFill="1" applyBorder="1" applyAlignment="1">
      <alignment horizontal="center" vertical="center"/>
    </xf>
    <xf numFmtId="0" fontId="25" fillId="9" borderId="4" xfId="3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46" fontId="45" fillId="5" borderId="4" xfId="3" applyNumberFormat="1" applyFill="1" applyBorder="1" applyAlignment="1">
      <alignment horizontal="center" vertical="center"/>
    </xf>
    <xf numFmtId="0" fontId="45" fillId="0" borderId="0" xfId="3" applyAlignment="1">
      <alignment horizontal="left" vertical="center"/>
    </xf>
    <xf numFmtId="165" fontId="8" fillId="0" borderId="0" xfId="1"/>
    <xf numFmtId="0" fontId="25" fillId="30" borderId="4" xfId="0" applyFont="1" applyFill="1" applyBorder="1"/>
    <xf numFmtId="0" fontId="0" fillId="4" borderId="4" xfId="0" applyFill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170" fontId="8" fillId="0" borderId="4" xfId="1" applyNumberFormat="1" applyBorder="1"/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170" fontId="8" fillId="0" borderId="42" xfId="1" applyNumberFormat="1" applyBorder="1"/>
    <xf numFmtId="170" fontId="8" fillId="0" borderId="0" xfId="1" applyNumberFormat="1"/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/>
    <xf numFmtId="0" fontId="0" fillId="0" borderId="4" xfId="0" applyBorder="1" applyAlignment="1">
      <alignment wrapText="1"/>
    </xf>
    <xf numFmtId="0" fontId="30" fillId="0" borderId="0" xfId="0" applyFont="1" applyAlignment="1">
      <alignment vertical="center"/>
    </xf>
    <xf numFmtId="0" fontId="0" fillId="0" borderId="0" xfId="0" applyAlignment="1">
      <alignment wrapText="1"/>
    </xf>
    <xf numFmtId="0" fontId="31" fillId="2" borderId="4" xfId="5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5" fillId="3" borderId="4" xfId="6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171" fontId="35" fillId="3" borderId="4" xfId="6" applyNumberFormat="1" applyFont="1" applyBorder="1" applyAlignment="1">
      <alignment horizontal="center" vertical="center"/>
    </xf>
    <xf numFmtId="0" fontId="35" fillId="3" borderId="4" xfId="6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5" fillId="3" borderId="4" xfId="6" applyFont="1" applyBorder="1" applyAlignment="1">
      <alignment vertical="center"/>
    </xf>
    <xf numFmtId="0" fontId="35" fillId="3" borderId="12" xfId="6" applyFont="1" applyBorder="1" applyAlignment="1">
      <alignment horizontal="center" vertical="center" wrapText="1"/>
    </xf>
    <xf numFmtId="0" fontId="39" fillId="0" borderId="4" xfId="0" applyFont="1" applyBorder="1"/>
    <xf numFmtId="0" fontId="39" fillId="0" borderId="0" xfId="0" applyFont="1"/>
    <xf numFmtId="49" fontId="35" fillId="3" borderId="4" xfId="6" applyNumberFormat="1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 wrapText="1"/>
    </xf>
    <xf numFmtId="0" fontId="35" fillId="3" borderId="14" xfId="6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/>
    </xf>
    <xf numFmtId="171" fontId="35" fillId="3" borderId="12" xfId="6" applyNumberFormat="1" applyFont="1" applyBorder="1" applyAlignment="1">
      <alignment horizontal="center" vertical="center"/>
    </xf>
    <xf numFmtId="0" fontId="35" fillId="3" borderId="12" xfId="6" applyFont="1" applyBorder="1" applyAlignment="1">
      <alignment horizontal="center" vertical="center"/>
    </xf>
    <xf numFmtId="0" fontId="35" fillId="3" borderId="1" xfId="6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34" fillId="0" borderId="12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0" borderId="15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4" fillId="0" borderId="0" xfId="0" applyFont="1"/>
    <xf numFmtId="0" fontId="32" fillId="9" borderId="4" xfId="0" applyFont="1" applyFill="1" applyBorder="1"/>
    <xf numFmtId="0" fontId="32" fillId="9" borderId="4" xfId="0" applyFont="1" applyFill="1" applyBorder="1" applyAlignment="1">
      <alignment wrapText="1"/>
    </xf>
    <xf numFmtId="0" fontId="41" fillId="42" borderId="4" xfId="0" applyFont="1" applyFill="1" applyBorder="1" applyAlignment="1">
      <alignment horizontal="center"/>
    </xf>
    <xf numFmtId="0" fontId="41" fillId="42" borderId="10" xfId="0" applyFont="1" applyFill="1" applyBorder="1" applyAlignment="1">
      <alignment horizontal="center"/>
    </xf>
    <xf numFmtId="0" fontId="4" fillId="42" borderId="0" xfId="0" applyFont="1" applyFill="1"/>
    <xf numFmtId="0" fontId="7" fillId="0" borderId="4" xfId="0" applyFont="1" applyBorder="1"/>
    <xf numFmtId="0" fontId="7" fillId="5" borderId="4" xfId="0" applyFont="1" applyFill="1" applyBorder="1"/>
    <xf numFmtId="0" fontId="7" fillId="0" borderId="10" xfId="0" applyFont="1" applyBorder="1" applyAlignment="1">
      <alignment wrapText="1"/>
    </xf>
    <xf numFmtId="0" fontId="0" fillId="0" borderId="22" xfId="0" applyBorder="1"/>
    <xf numFmtId="0" fontId="0" fillId="43" borderId="22" xfId="0" applyFill="1" applyBorder="1"/>
    <xf numFmtId="0" fontId="0" fillId="5" borderId="4" xfId="0" applyFill="1" applyBorder="1"/>
    <xf numFmtId="0" fontId="0" fillId="0" borderId="10" xfId="0" applyBorder="1" applyAlignment="1">
      <alignment wrapText="1"/>
    </xf>
    <xf numFmtId="0" fontId="7" fillId="0" borderId="4" xfId="0" applyFont="1" applyBorder="1" applyAlignment="1">
      <alignment wrapText="1"/>
    </xf>
    <xf numFmtId="0" fontId="0" fillId="12" borderId="4" xfId="0" applyFill="1" applyBorder="1" applyAlignment="1">
      <alignment wrapText="1"/>
    </xf>
    <xf numFmtId="0" fontId="0" fillId="0" borderId="10" xfId="0" applyBorder="1"/>
    <xf numFmtId="0" fontId="7" fillId="0" borderId="14" xfId="0" applyFont="1" applyBorder="1" applyAlignment="1">
      <alignment wrapText="1"/>
    </xf>
    <xf numFmtId="0" fontId="7" fillId="0" borderId="14" xfId="0" applyFont="1" applyBorder="1"/>
    <xf numFmtId="0" fontId="0" fillId="5" borderId="14" xfId="0" applyFill="1" applyBorder="1"/>
    <xf numFmtId="0" fontId="0" fillId="0" borderId="14" xfId="0" applyBorder="1" applyAlignment="1">
      <alignment wrapText="1"/>
    </xf>
    <xf numFmtId="0" fontId="0" fillId="12" borderId="14" xfId="0" applyFill="1" applyBorder="1"/>
    <xf numFmtId="0" fontId="0" fillId="0" borderId="14" xfId="0" applyBorder="1"/>
    <xf numFmtId="0" fontId="43" fillId="20" borderId="4" xfId="0" applyFont="1" applyFill="1" applyBorder="1" applyAlignment="1">
      <alignment horizontal="left" vertical="center"/>
    </xf>
    <xf numFmtId="0" fontId="44" fillId="44" borderId="4" xfId="0" applyFont="1" applyFill="1" applyBorder="1" applyAlignment="1">
      <alignment horizontal="left" vertical="center"/>
    </xf>
    <xf numFmtId="0" fontId="44" fillId="45" borderId="4" xfId="0" applyFont="1" applyFill="1" applyBorder="1" applyAlignment="1">
      <alignment horizontal="left" vertical="center"/>
    </xf>
    <xf numFmtId="0" fontId="44" fillId="44" borderId="4" xfId="0" applyFont="1" applyFill="1" applyBorder="1" applyAlignment="1">
      <alignment horizontal="left" vertical="center" wrapText="1"/>
    </xf>
    <xf numFmtId="0" fontId="7" fillId="46" borderId="4" xfId="0" applyFont="1" applyFill="1" applyBorder="1" applyAlignment="1">
      <alignment vertical="center"/>
    </xf>
    <xf numFmtId="0" fontId="0" fillId="44" borderId="4" xfId="0" applyFill="1" applyBorder="1" applyAlignment="1">
      <alignment vertical="center"/>
    </xf>
    <xf numFmtId="0" fontId="0" fillId="44" borderId="4" xfId="0" applyFill="1" applyBorder="1" applyAlignment="1">
      <alignment horizontal="left" vertical="center"/>
    </xf>
    <xf numFmtId="0" fontId="0" fillId="45" borderId="4" xfId="0" applyFill="1" applyBorder="1" applyAlignment="1">
      <alignment horizontal="left" vertical="center"/>
    </xf>
    <xf numFmtId="0" fontId="0" fillId="44" borderId="4" xfId="0" applyFill="1" applyBorder="1" applyAlignment="1">
      <alignment horizontal="left" vertical="center" wrapText="1"/>
    </xf>
    <xf numFmtId="0" fontId="40" fillId="44" borderId="4" xfId="0" applyFont="1" applyFill="1" applyBorder="1" applyAlignment="1">
      <alignment horizontal="left" vertical="center"/>
    </xf>
    <xf numFmtId="0" fontId="0" fillId="45" borderId="4" xfId="0" applyFill="1" applyBorder="1" applyAlignment="1">
      <alignment horizontal="left" vertical="center" wrapText="1"/>
    </xf>
    <xf numFmtId="0" fontId="40" fillId="44" borderId="4" xfId="0" applyFont="1" applyFill="1" applyBorder="1" applyAlignment="1">
      <alignment horizontal="left" vertical="center" wrapText="1"/>
    </xf>
    <xf numFmtId="0" fontId="40" fillId="45" borderId="4" xfId="0" applyFont="1" applyFill="1" applyBorder="1" applyAlignment="1">
      <alignment horizontal="left" vertical="center" wrapText="1"/>
    </xf>
    <xf numFmtId="0" fontId="0" fillId="44" borderId="14" xfId="0" applyFill="1" applyBorder="1" applyAlignment="1">
      <alignment vertical="center"/>
    </xf>
    <xf numFmtId="0" fontId="10" fillId="7" borderId="11" xfId="0" applyFont="1" applyFill="1" applyBorder="1" applyAlignment="1">
      <alignment vertical="center"/>
    </xf>
    <xf numFmtId="0" fontId="19" fillId="7" borderId="4" xfId="0" applyFont="1" applyFill="1" applyBorder="1" applyAlignment="1">
      <alignment vertical="center" wrapText="1"/>
    </xf>
    <xf numFmtId="0" fontId="46" fillId="0" borderId="4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 wrapText="1"/>
    </xf>
    <xf numFmtId="0" fontId="0" fillId="0" borderId="51" xfId="0" applyBorder="1" applyAlignment="1">
      <alignment horizontal="center"/>
    </xf>
    <xf numFmtId="0" fontId="0" fillId="0" borderId="51" xfId="0" applyBorder="1" applyAlignment="1">
      <alignment horizontal="center" wrapText="1"/>
    </xf>
    <xf numFmtId="0" fontId="50" fillId="0" borderId="1" xfId="0" applyFont="1" applyBorder="1" applyAlignment="1">
      <alignment horizontal="center" vertical="center"/>
    </xf>
    <xf numFmtId="0" fontId="52" fillId="48" borderId="12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0" fillId="0" borderId="53" xfId="0" applyBorder="1" applyAlignment="1">
      <alignment horizontal="center" wrapText="1"/>
    </xf>
    <xf numFmtId="0" fontId="50" fillId="0" borderId="43" xfId="0" applyFont="1" applyBorder="1" applyAlignment="1">
      <alignment horizontal="center" vertical="center"/>
    </xf>
    <xf numFmtId="0" fontId="52" fillId="48" borderId="3" xfId="0" applyFont="1" applyFill="1" applyBorder="1" applyAlignment="1">
      <alignment horizontal="center" vertical="center" wrapText="1"/>
    </xf>
    <xf numFmtId="0" fontId="0" fillId="0" borderId="55" xfId="0" applyBorder="1" applyAlignment="1">
      <alignment horizontal="center"/>
    </xf>
    <xf numFmtId="0" fontId="0" fillId="0" borderId="49" xfId="0" applyBorder="1" applyAlignment="1">
      <alignment wrapText="1"/>
    </xf>
    <xf numFmtId="0" fontId="50" fillId="0" borderId="51" xfId="0" applyFont="1" applyBorder="1" applyAlignment="1">
      <alignment horizontal="center" vertical="center"/>
    </xf>
    <xf numFmtId="0" fontId="51" fillId="47" borderId="12" xfId="0" applyFont="1" applyFill="1" applyBorder="1" applyAlignment="1">
      <alignment horizontal="center"/>
    </xf>
    <xf numFmtId="0" fontId="52" fillId="48" borderId="56" xfId="0" applyFont="1" applyFill="1" applyBorder="1" applyAlignment="1">
      <alignment horizontal="center" vertical="center" wrapText="1"/>
    </xf>
    <xf numFmtId="0" fontId="17" fillId="29" borderId="14" xfId="0" applyFont="1" applyFill="1" applyBorder="1" applyAlignment="1">
      <alignment horizontal="left" vertical="center" wrapText="1"/>
    </xf>
    <xf numFmtId="0" fontId="10" fillId="18" borderId="3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10" fillId="18" borderId="10" xfId="0" applyFont="1" applyFill="1" applyBorder="1" applyAlignment="1">
      <alignment horizontal="left" vertical="center" wrapText="1"/>
    </xf>
    <xf numFmtId="0" fontId="10" fillId="18" borderId="4" xfId="0" applyFont="1" applyFill="1" applyBorder="1" applyAlignment="1">
      <alignment horizontal="left" vertical="center" wrapText="1"/>
    </xf>
    <xf numFmtId="0" fontId="17" fillId="27" borderId="14" xfId="0" applyFont="1" applyFill="1" applyBorder="1" applyAlignment="1">
      <alignment horizontal="left" vertical="center" wrapText="1"/>
    </xf>
    <xf numFmtId="0" fontId="10" fillId="28" borderId="12" xfId="0" applyFont="1" applyFill="1" applyBorder="1" applyAlignment="1">
      <alignment horizontal="center" vertical="center"/>
    </xf>
    <xf numFmtId="0" fontId="10" fillId="28" borderId="4" xfId="0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left" vertical="center" wrapText="1"/>
    </xf>
    <xf numFmtId="0" fontId="10" fillId="28" borderId="10" xfId="0" applyFont="1" applyFill="1" applyBorder="1" applyAlignment="1">
      <alignment horizontal="left" vertical="center" wrapText="1"/>
    </xf>
    <xf numFmtId="0" fontId="10" fillId="21" borderId="14" xfId="0" applyFont="1" applyFill="1" applyBorder="1" applyAlignment="1">
      <alignment horizontal="center" vertical="center"/>
    </xf>
    <xf numFmtId="0" fontId="10" fillId="21" borderId="4" xfId="0" applyFont="1" applyFill="1" applyBorder="1" applyAlignment="1">
      <alignment horizontal="left" vertical="center" wrapText="1"/>
    </xf>
    <xf numFmtId="20" fontId="10" fillId="21" borderId="4" xfId="0" applyNumberFormat="1" applyFont="1" applyFill="1" applyBorder="1" applyAlignment="1">
      <alignment horizontal="center" vertical="center"/>
    </xf>
    <xf numFmtId="0" fontId="10" fillId="21" borderId="4" xfId="0" applyFont="1" applyFill="1" applyBorder="1" applyAlignment="1">
      <alignment horizontal="center" vertical="center" wrapText="1"/>
    </xf>
    <xf numFmtId="0" fontId="17" fillId="24" borderId="14" xfId="0" applyFont="1" applyFill="1" applyBorder="1" applyAlignment="1">
      <alignment horizontal="left" vertical="center" wrapText="1"/>
    </xf>
    <xf numFmtId="0" fontId="10" fillId="25" borderId="4" xfId="0" applyFont="1" applyFill="1" applyBorder="1" applyAlignment="1">
      <alignment horizontal="center" vertical="center"/>
    </xf>
    <xf numFmtId="0" fontId="10" fillId="25" borderId="4" xfId="0" applyFont="1" applyFill="1" applyBorder="1" applyAlignment="1">
      <alignment horizontal="left" vertical="center" wrapText="1"/>
    </xf>
    <xf numFmtId="0" fontId="17" fillId="26" borderId="1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0" fillId="21" borderId="4" xfId="0" applyFont="1" applyFill="1" applyBorder="1" applyAlignment="1">
      <alignment horizontal="center" vertical="center"/>
    </xf>
    <xf numFmtId="0" fontId="19" fillId="21" borderId="4" xfId="0" applyFont="1" applyFill="1" applyBorder="1" applyAlignment="1">
      <alignment horizontal="left" vertical="center" wrapText="1"/>
    </xf>
    <xf numFmtId="0" fontId="19" fillId="21" borderId="4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left" vertical="center" wrapText="1"/>
    </xf>
    <xf numFmtId="0" fontId="10" fillId="23" borderId="4" xfId="0" applyFont="1" applyFill="1" applyBorder="1" applyAlignment="1">
      <alignment horizontal="center" vertical="center"/>
    </xf>
    <xf numFmtId="0" fontId="10" fillId="23" borderId="4" xfId="0" applyFont="1" applyFill="1" applyBorder="1" applyAlignment="1">
      <alignment horizontal="left" vertical="center" wrapText="1"/>
    </xf>
    <xf numFmtId="1" fontId="17" fillId="9" borderId="11" xfId="0" applyNumberFormat="1" applyFont="1" applyFill="1" applyBorder="1" applyAlignment="1">
      <alignment horizontal="left" vertical="center" wrapText="1"/>
    </xf>
    <xf numFmtId="0" fontId="10" fillId="18" borderId="14" xfId="0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left" vertical="center" wrapText="1"/>
    </xf>
    <xf numFmtId="0" fontId="10" fillId="19" borderId="4" xfId="0" applyFont="1" applyFill="1" applyBorder="1" applyAlignment="1">
      <alignment horizontal="center" vertical="center" wrapText="1"/>
    </xf>
    <xf numFmtId="0" fontId="23" fillId="19" borderId="14" xfId="0" applyFont="1" applyFill="1" applyBorder="1" applyAlignment="1">
      <alignment horizontal="center" vertical="center" wrapText="1"/>
    </xf>
    <xf numFmtId="0" fontId="10" fillId="19" borderId="14" xfId="0" applyFont="1" applyFill="1" applyBorder="1" applyAlignment="1">
      <alignment horizontal="left" vertical="center" wrapText="1"/>
    </xf>
    <xf numFmtId="0" fontId="19" fillId="19" borderId="4" xfId="0" applyFont="1" applyFill="1" applyBorder="1" applyAlignment="1">
      <alignment horizontal="left" vertical="center" wrapText="1"/>
    </xf>
    <xf numFmtId="20" fontId="10" fillId="7" borderId="4" xfId="0" applyNumberFormat="1" applyFont="1" applyFill="1" applyBorder="1" applyAlignment="1">
      <alignment horizontal="center" vertical="center" wrapText="1"/>
    </xf>
    <xf numFmtId="0" fontId="19" fillId="7" borderId="15" xfId="0" applyFont="1" applyFill="1" applyBorder="1" applyAlignment="1">
      <alignment horizontal="left" vertical="center" wrapText="1"/>
    </xf>
    <xf numFmtId="0" fontId="19" fillId="7" borderId="14" xfId="0" applyFont="1" applyFill="1" applyBorder="1" applyAlignment="1">
      <alignment horizontal="left" vertical="center" wrapText="1"/>
    </xf>
    <xf numFmtId="0" fontId="19" fillId="7" borderId="4" xfId="0" applyFont="1" applyFill="1" applyBorder="1" applyAlignment="1">
      <alignment horizontal="left" vertical="center" wrapText="1"/>
    </xf>
    <xf numFmtId="0" fontId="17" fillId="16" borderId="15" xfId="0" applyFont="1" applyFill="1" applyBorder="1" applyAlignment="1">
      <alignment horizontal="left" vertical="center" wrapText="1"/>
    </xf>
    <xf numFmtId="0" fontId="10" fillId="17" borderId="3" xfId="0" applyFont="1" applyFill="1" applyBorder="1" applyAlignment="1" applyProtection="1">
      <alignment horizontal="left" vertical="center"/>
      <protection locked="0"/>
    </xf>
    <xf numFmtId="0" fontId="10" fillId="17" borderId="4" xfId="0" applyFont="1" applyFill="1" applyBorder="1" applyAlignment="1">
      <alignment horizontal="left" vertical="center"/>
    </xf>
    <xf numFmtId="0" fontId="10" fillId="17" borderId="3" xfId="0" applyFont="1" applyFill="1" applyBorder="1" applyAlignment="1">
      <alignment horizontal="left" vertical="center" wrapText="1"/>
    </xf>
    <xf numFmtId="0" fontId="10" fillId="17" borderId="4" xfId="0" applyFont="1" applyFill="1" applyBorder="1" applyAlignment="1">
      <alignment horizontal="left" vertical="center" wrapText="1"/>
    </xf>
    <xf numFmtId="0" fontId="10" fillId="17" borderId="8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 applyProtection="1">
      <alignment horizontal="center" vertical="center" wrapText="1"/>
      <protection locked="0"/>
    </xf>
    <xf numFmtId="0" fontId="10" fillId="15" borderId="4" xfId="0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left" vertical="center" wrapText="1"/>
    </xf>
    <xf numFmtId="0" fontId="19" fillId="15" borderId="10" xfId="0" applyFont="1" applyFill="1" applyBorder="1" applyAlignment="1">
      <alignment horizontal="left" vertical="center" wrapText="1"/>
    </xf>
    <xf numFmtId="0" fontId="19" fillId="15" borderId="14" xfId="0" applyFont="1" applyFill="1" applyBorder="1" applyAlignment="1">
      <alignment horizontal="left" vertical="center" wrapText="1"/>
    </xf>
    <xf numFmtId="0" fontId="19" fillId="15" borderId="4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/>
    </xf>
    <xf numFmtId="0" fontId="10" fillId="7" borderId="11" xfId="0" applyFont="1" applyFill="1" applyBorder="1" applyAlignment="1" applyProtection="1">
      <alignment horizontal="center" vertical="center" wrapText="1"/>
      <protection locked="0"/>
    </xf>
    <xf numFmtId="0" fontId="10" fillId="7" borderId="7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left" vertical="center" wrapText="1"/>
    </xf>
    <xf numFmtId="0" fontId="19" fillId="7" borderId="12" xfId="0" applyFont="1" applyFill="1" applyBorder="1" applyAlignment="1">
      <alignment horizontal="left" vertical="center" wrapText="1"/>
    </xf>
    <xf numFmtId="0" fontId="19" fillId="7" borderId="43" xfId="0" applyFont="1" applyFill="1" applyBorder="1" applyAlignment="1">
      <alignment horizontal="left" vertical="center" wrapText="1"/>
    </xf>
    <xf numFmtId="0" fontId="19" fillId="7" borderId="45" xfId="0" applyFont="1" applyFill="1" applyBorder="1" applyAlignment="1">
      <alignment horizontal="left" vertical="center" wrapText="1"/>
    </xf>
    <xf numFmtId="0" fontId="19" fillId="7" borderId="46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19" fillId="7" borderId="44" xfId="0" applyFont="1" applyFill="1" applyBorder="1" applyAlignment="1">
      <alignment horizontal="left" vertical="center" wrapText="1"/>
    </xf>
    <xf numFmtId="168" fontId="10" fillId="7" borderId="12" xfId="0" applyNumberFormat="1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left" vertical="center" wrapText="1"/>
    </xf>
    <xf numFmtId="0" fontId="10" fillId="7" borderId="7" xfId="0" applyFont="1" applyFill="1" applyBorder="1" applyAlignment="1">
      <alignment horizontal="left" vertical="center" wrapText="1"/>
    </xf>
    <xf numFmtId="20" fontId="19" fillId="7" borderId="14" xfId="0" applyNumberFormat="1" applyFont="1" applyFill="1" applyBorder="1" applyAlignment="1">
      <alignment horizontal="center" vertical="center"/>
    </xf>
    <xf numFmtId="20" fontId="19" fillId="7" borderId="11" xfId="0" applyNumberFormat="1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vertical="center"/>
    </xf>
    <xf numFmtId="0" fontId="10" fillId="7" borderId="11" xfId="0" applyFont="1" applyFill="1" applyBorder="1" applyAlignment="1">
      <alignment vertical="center"/>
    </xf>
    <xf numFmtId="0" fontId="10" fillId="11" borderId="47" xfId="0" applyFont="1" applyFill="1" applyBorder="1" applyAlignment="1">
      <alignment horizontal="center" vertical="center" wrapText="1"/>
    </xf>
    <xf numFmtId="0" fontId="10" fillId="11" borderId="48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right" vertical="center" wrapText="1"/>
    </xf>
    <xf numFmtId="0" fontId="10" fillId="7" borderId="6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18" fillId="13" borderId="15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left" vertical="center"/>
    </xf>
    <xf numFmtId="0" fontId="19" fillId="14" borderId="12" xfId="0" applyFont="1" applyFill="1" applyBorder="1" applyAlignment="1">
      <alignment horizontal="left" vertical="center" wrapText="1"/>
    </xf>
    <xf numFmtId="20" fontId="19" fillId="14" borderId="12" xfId="0" applyNumberFormat="1" applyFont="1" applyFill="1" applyBorder="1" applyAlignment="1">
      <alignment horizontal="center" vertical="center"/>
    </xf>
    <xf numFmtId="0" fontId="19" fillId="14" borderId="14" xfId="0" applyFont="1" applyFill="1" applyBorder="1" applyAlignment="1">
      <alignment horizontal="left" vertical="center" wrapText="1"/>
    </xf>
    <xf numFmtId="0" fontId="19" fillId="14" borderId="4" xfId="0" applyFont="1" applyFill="1" applyBorder="1" applyAlignment="1">
      <alignment horizontal="left" vertical="center" wrapText="1"/>
    </xf>
    <xf numFmtId="0" fontId="19" fillId="14" borderId="7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left" vertical="center" wrapText="1"/>
    </xf>
    <xf numFmtId="0" fontId="17" fillId="9" borderId="15" xfId="0" applyFont="1" applyFill="1" applyBorder="1" applyAlignment="1">
      <alignment horizontal="left" vertical="center"/>
    </xf>
    <xf numFmtId="9" fontId="0" fillId="4" borderId="0" xfId="0" applyNumberFormat="1" applyFill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5" fillId="5" borderId="4" xfId="0" applyFont="1" applyFill="1" applyBorder="1" applyAlignment="1" applyProtection="1">
      <alignment horizontal="center" vertical="center" wrapText="1"/>
      <protection locked="0"/>
    </xf>
    <xf numFmtId="0" fontId="6" fillId="4" borderId="4" xfId="0" applyFont="1" applyFill="1" applyBorder="1" applyAlignment="1">
      <alignment horizontal="left" wrapText="1"/>
    </xf>
    <xf numFmtId="0" fontId="0" fillId="5" borderId="4" xfId="0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/>
    </xf>
    <xf numFmtId="0" fontId="0" fillId="5" borderId="10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167" fontId="45" fillId="4" borderId="27" xfId="3" applyNumberFormat="1" applyFill="1" applyBorder="1" applyAlignment="1" applyProtection="1">
      <alignment horizontal="center" vertical="center"/>
      <protection locked="0"/>
    </xf>
    <xf numFmtId="167" fontId="0" fillId="4" borderId="27" xfId="0" applyNumberFormat="1" applyFill="1" applyBorder="1" applyAlignment="1">
      <alignment horizontal="center" vertical="center"/>
    </xf>
    <xf numFmtId="167" fontId="45" fillId="0" borderId="26" xfId="3" applyNumberFormat="1" applyBorder="1" applyAlignment="1" applyProtection="1">
      <alignment horizontal="center" vertical="center"/>
      <protection locked="0"/>
    </xf>
    <xf numFmtId="167" fontId="45" fillId="0" borderId="33" xfId="3" applyNumberFormat="1" applyBorder="1" applyAlignment="1" applyProtection="1">
      <alignment horizontal="center" vertical="center"/>
      <protection locked="0"/>
    </xf>
    <xf numFmtId="167" fontId="45" fillId="4" borderId="26" xfId="3" applyNumberFormat="1" applyFill="1" applyBorder="1" applyAlignment="1" applyProtection="1">
      <alignment horizontal="center" vertical="center"/>
      <protection locked="0"/>
    </xf>
    <xf numFmtId="167" fontId="45" fillId="4" borderId="22" xfId="3" applyNumberFormat="1" applyFill="1" applyBorder="1" applyAlignment="1" applyProtection="1">
      <alignment horizontal="center" vertical="center"/>
      <protection locked="0"/>
    </xf>
    <xf numFmtId="167" fontId="0" fillId="4" borderId="22" xfId="0" applyNumberFormat="1" applyFill="1" applyBorder="1" applyAlignment="1">
      <alignment horizontal="center" vertical="center"/>
    </xf>
    <xf numFmtId="167" fontId="45" fillId="0" borderId="22" xfId="3" applyNumberFormat="1" applyBorder="1" applyAlignment="1" applyProtection="1">
      <alignment horizontal="center" vertical="center"/>
      <protection locked="0"/>
    </xf>
    <xf numFmtId="0" fontId="0" fillId="0" borderId="32" xfId="0" applyBorder="1" applyAlignment="1">
      <alignment horizontal="center" vertical="center"/>
    </xf>
    <xf numFmtId="0" fontId="45" fillId="0" borderId="21" xfId="3" applyBorder="1" applyAlignment="1">
      <alignment horizontal="center" vertical="center" wrapText="1"/>
    </xf>
    <xf numFmtId="0" fontId="45" fillId="4" borderId="30" xfId="3" applyFill="1" applyBorder="1" applyAlignment="1">
      <alignment horizontal="center" vertical="center" wrapText="1"/>
    </xf>
    <xf numFmtId="167" fontId="45" fillId="4" borderId="31" xfId="3" applyNumberFormat="1" applyFill="1" applyBorder="1" applyAlignment="1" applyProtection="1">
      <alignment horizontal="center" vertical="center"/>
      <protection locked="0"/>
    </xf>
    <xf numFmtId="0" fontId="45" fillId="15" borderId="21" xfId="3" applyFill="1" applyBorder="1" applyAlignment="1">
      <alignment horizontal="center" vertical="center" wrapText="1"/>
    </xf>
    <xf numFmtId="0" fontId="45" fillId="15" borderId="28" xfId="3" applyFill="1" applyBorder="1" applyAlignment="1">
      <alignment horizontal="center" vertical="center" wrapText="1"/>
    </xf>
    <xf numFmtId="167" fontId="0" fillId="4" borderId="29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45" fillId="4" borderId="24" xfId="3" applyNumberFormat="1" applyFill="1" applyBorder="1" applyAlignment="1" applyProtection="1">
      <alignment horizontal="center" vertical="center"/>
      <protection locked="0"/>
    </xf>
    <xf numFmtId="167" fontId="45" fillId="4" borderId="25" xfId="3" applyNumberFormat="1" applyFill="1" applyBorder="1" applyAlignment="1" applyProtection="1">
      <alignment horizontal="center" vertical="center"/>
      <protection locked="0"/>
    </xf>
    <xf numFmtId="167" fontId="0" fillId="4" borderId="25" xfId="0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0" fontId="32" fillId="9" borderId="9" xfId="0" applyFont="1" applyFill="1" applyBorder="1" applyAlignment="1">
      <alignment horizontal="left"/>
    </xf>
    <xf numFmtId="0" fontId="33" fillId="0" borderId="14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33" fillId="0" borderId="15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0" fontId="39" fillId="0" borderId="57" xfId="0" applyFont="1" applyBorder="1" applyAlignment="1">
      <alignment horizontal="center" vertical="center" wrapText="1"/>
    </xf>
    <xf numFmtId="0" fontId="39" fillId="0" borderId="58" xfId="0" applyFont="1" applyBorder="1" applyAlignment="1">
      <alignment horizontal="center" vertical="center" wrapText="1"/>
    </xf>
    <xf numFmtId="0" fontId="39" fillId="0" borderId="59" xfId="0" applyFont="1" applyBorder="1" applyAlignment="1">
      <alignment horizontal="center" vertical="center" wrapText="1"/>
    </xf>
    <xf numFmtId="0" fontId="35" fillId="3" borderId="4" xfId="6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0" fillId="44" borderId="4" xfId="0" applyFill="1" applyBorder="1" applyAlignment="1">
      <alignment horizontal="center" vertical="center"/>
    </xf>
    <xf numFmtId="0" fontId="0" fillId="44" borderId="4" xfId="0" applyFill="1" applyBorder="1" applyAlignment="1">
      <alignment vertical="center"/>
    </xf>
    <xf numFmtId="20" fontId="0" fillId="35" borderId="34" xfId="0" applyNumberFormat="1" applyFill="1" applyBorder="1" applyAlignment="1"/>
    <xf numFmtId="20" fontId="0" fillId="35" borderId="35" xfId="0" applyNumberFormat="1" applyFill="1" applyBorder="1" applyAlignment="1"/>
    <xf numFmtId="20" fontId="0" fillId="4" borderId="36" xfId="0" applyNumberFormat="1" applyFill="1" applyBorder="1" applyAlignment="1"/>
    <xf numFmtId="20" fontId="0" fillId="35" borderId="38" xfId="0" applyNumberFormat="1" applyFill="1" applyBorder="1" applyAlignment="1"/>
    <xf numFmtId="20" fontId="0" fillId="35" borderId="39" xfId="0" applyNumberFormat="1" applyFill="1" applyBorder="1" applyAlignment="1"/>
    <xf numFmtId="20" fontId="0" fillId="35" borderId="31" xfId="0" applyNumberFormat="1" applyFill="1" applyBorder="1" applyAlignment="1"/>
    <xf numFmtId="20" fontId="0" fillId="4" borderId="40" xfId="0" applyNumberFormat="1" applyFill="1" applyBorder="1" applyAlignment="1"/>
    <xf numFmtId="20" fontId="0" fillId="38" borderId="31" xfId="0" applyNumberFormat="1" applyFill="1" applyBorder="1" applyAlignment="1"/>
    <xf numFmtId="20" fontId="0" fillId="38" borderId="39" xfId="0" applyNumberFormat="1" applyFill="1" applyBorder="1" applyAlignment="1"/>
    <xf numFmtId="20" fontId="0" fillId="4" borderId="41" xfId="0" applyNumberFormat="1" applyFill="1" applyBorder="1" applyAlignment="1"/>
    <xf numFmtId="20" fontId="0" fillId="39" borderId="38" xfId="0" applyNumberFormat="1" applyFill="1" applyBorder="1" applyAlignment="1"/>
    <xf numFmtId="20" fontId="0" fillId="39" borderId="39" xfId="0" applyNumberFormat="1" applyFill="1" applyBorder="1" applyAlignment="1"/>
    <xf numFmtId="20" fontId="0" fillId="41" borderId="31" xfId="0" applyNumberFormat="1" applyFill="1" applyBorder="1" applyAlignment="1"/>
  </cellXfs>
  <cellStyles count="7">
    <cellStyle name="Excel Built-in 20% - Accent5" xfId="6" xr:uid="{00000000-0005-0000-0000-000009000000}"/>
    <cellStyle name="Excel Built-in Accent5" xfId="5" xr:uid="{00000000-0005-0000-0000-000008000000}"/>
    <cellStyle name="Normal" xfId="0" builtinId="0"/>
    <cellStyle name="Normal 2" xfId="3" xr:uid="{00000000-0005-0000-0000-000006000000}"/>
    <cellStyle name="Normal 3" xfId="4" xr:uid="{00000000-0005-0000-0000-000007000000}"/>
    <cellStyle name="Porcentagem" xfId="2" builtinId="5"/>
    <cellStyle name="Vírgula" xfId="1" builtinId="3"/>
  </cellStyles>
  <dxfs count="285"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92D050"/>
      <rgbColor rgb="FF0000FF"/>
      <rgbColor rgb="FFFFFF00"/>
      <rgbColor rgb="FFFED07F"/>
      <rgbColor rgb="FF97CD7E"/>
      <rgbColor rgb="FF9C0006"/>
      <rgbColor rgb="FF006100"/>
      <rgbColor rgb="FF000080"/>
      <rgbColor rgb="FF548235"/>
      <rgbColor rgb="FFD9E1F2"/>
      <rgbColor rgb="FF00A933"/>
      <rgbColor rgb="FFBFBFBF"/>
      <rgbColor rgb="FF767171"/>
      <rgbColor rgb="FF8FAADC"/>
      <rgbColor rgb="FFF8696B"/>
      <rgbColor rgb="FFF2F2F2"/>
      <rgbColor rgb="FFDEEBF7"/>
      <rgbColor rgb="FF660066"/>
      <rgbColor rgb="FFFF8585"/>
      <rgbColor rgb="FFC5E0B4"/>
      <rgbColor rgb="FFB4C7E7"/>
      <rgbColor rgb="FF000080"/>
      <rgbColor rgb="FFD9D9D9"/>
      <rgbColor rgb="FFFFE683"/>
      <rgbColor rgb="FFA9D18E"/>
      <rgbColor rgb="FFDAE3F3"/>
      <rgbColor rgb="FFFFE182"/>
      <rgbColor rgb="FF70AD47"/>
      <rgbColor rgb="FF0000FF"/>
      <rgbColor rgb="FF63BE7B"/>
      <rgbColor rgb="FFE2F0D9"/>
      <rgbColor rgb="FFC6EFCE"/>
      <rgbColor rgb="FFFFEB84"/>
      <rgbColor rgb="FF9DC3E6"/>
      <rgbColor rgb="FFFFC7CE"/>
      <rgbColor rgb="FFD0CECE"/>
      <rgbColor rgb="FFF8CBAD"/>
      <rgbColor rgb="FF5B9BD5"/>
      <rgbColor rgb="FF3FB690"/>
      <rgbColor rgb="FF92C743"/>
      <rgbColor rgb="FFFFD966"/>
      <rgbColor rgb="FFFF9933"/>
      <rgbColor rgb="FFC55A11"/>
      <rgbColor rgb="FF2F5597"/>
      <rgbColor rgb="FFAFABAB"/>
      <rgbColor rgb="FFE2EFDA"/>
      <rgbColor rgb="FF00B050"/>
      <rgbColor rgb="FF003300"/>
      <rgbColor rgb="FFDBDBDB"/>
      <rgbColor rgb="FFBF9000"/>
      <rgbColor rgb="FFE58B39"/>
      <rgbColor rgb="FF333F50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D58" totalsRowShown="0">
  <autoFilter ref="A1:D58" xr:uid="{00000000-0009-0000-0100-000001000000}"/>
  <tableColumns count="4">
    <tableColumn id="1" xr3:uid="{00000000-0010-0000-0000-000001000000}" name="FLUXOS"/>
    <tableColumn id="2" xr3:uid="{00000000-0010-0000-0000-000002000000}" name="Obrigatório"/>
    <tableColumn id="3" xr3:uid="{00000000-0010-0000-0000-000003000000}" name="Vai Integrar ? (S/N)"/>
    <tableColumn id="4" xr3:uid="{00000000-0010-0000-0000-000004000000}" name="Consideração Clov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9"/>
  <sheetViews>
    <sheetView topLeftCell="A4" zoomScale="90" zoomScaleNormal="90" workbookViewId="0">
      <selection activeCell="A24" sqref="A24"/>
    </sheetView>
  </sheetViews>
  <sheetFormatPr defaultColWidth="8.7109375" defaultRowHeight="15"/>
  <cols>
    <col min="1" max="1" width="7.85546875" style="3" customWidth="1"/>
    <col min="2" max="2" width="51.140625" customWidth="1"/>
    <col min="3" max="3" width="18.85546875" customWidth="1"/>
    <col min="4" max="4" width="15.28515625" customWidth="1"/>
    <col min="5" max="5" width="5" hidden="1" customWidth="1"/>
    <col min="6" max="7" width="15.28515625" customWidth="1"/>
    <col min="8" max="8" width="15.28515625" hidden="1" customWidth="1"/>
    <col min="9" max="10" width="15.28515625" customWidth="1"/>
    <col min="11" max="11" width="15.28515625" hidden="1" customWidth="1"/>
    <col min="12" max="14" width="15.28515625" customWidth="1"/>
    <col min="15" max="15" width="22" hidden="1" customWidth="1"/>
    <col min="16" max="16" width="16.28515625" customWidth="1"/>
    <col min="17" max="20" width="15.28515625" customWidth="1"/>
    <col min="21" max="21" width="19.28515625" customWidth="1"/>
    <col min="22" max="22" width="14.5703125" customWidth="1"/>
    <col min="23" max="23" width="18.28515625" customWidth="1"/>
    <col min="24" max="24" width="14.28515625" customWidth="1"/>
    <col min="25" max="36" width="8.7109375" style="4"/>
  </cols>
  <sheetData>
    <row r="1" spans="1:26" ht="42" customHeight="1">
      <c r="A1" s="588" t="s">
        <v>0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"/>
      <c r="V1" s="5"/>
      <c r="W1" s="5"/>
      <c r="X1" s="4"/>
    </row>
    <row r="2" spans="1:26" ht="15" customHeight="1">
      <c r="A2" s="6"/>
      <c r="B2" s="7" t="s">
        <v>1</v>
      </c>
      <c r="C2" s="4"/>
      <c r="D2" s="4"/>
      <c r="E2" s="4"/>
      <c r="F2" s="7"/>
      <c r="G2" s="7"/>
      <c r="H2" s="4"/>
      <c r="I2" s="4"/>
      <c r="J2" s="7" t="s">
        <v>2</v>
      </c>
      <c r="K2" s="4"/>
      <c r="L2" s="4"/>
      <c r="M2" s="4"/>
      <c r="N2" s="4"/>
      <c r="O2" s="4"/>
      <c r="P2" s="4"/>
      <c r="Q2" s="4"/>
      <c r="R2" s="7" t="s">
        <v>3</v>
      </c>
      <c r="S2" s="4"/>
      <c r="T2" s="4"/>
      <c r="U2" s="4"/>
      <c r="V2" s="4"/>
      <c r="W2" s="4"/>
      <c r="X2" s="4"/>
    </row>
    <row r="3" spans="1:26" ht="15" customHeight="1">
      <c r="A3" s="6"/>
      <c r="B3" s="8" t="s">
        <v>4</v>
      </c>
      <c r="C3" s="9">
        <v>25</v>
      </c>
      <c r="D3" s="4"/>
      <c r="E3" s="4"/>
      <c r="F3" s="4"/>
      <c r="G3" s="4"/>
      <c r="H3" s="4"/>
      <c r="I3" s="4"/>
      <c r="J3" s="8" t="s">
        <v>5</v>
      </c>
      <c r="K3" s="10"/>
      <c r="L3" s="10"/>
      <c r="M3" s="10"/>
      <c r="N3" s="9" t="s">
        <v>6</v>
      </c>
      <c r="O3" s="4"/>
      <c r="P3" s="4"/>
      <c r="Q3" s="4"/>
      <c r="R3" s="589" t="s">
        <v>7</v>
      </c>
      <c r="S3" s="589"/>
      <c r="T3" s="589"/>
      <c r="U3" s="4"/>
      <c r="V3" s="4"/>
      <c r="W3" s="4"/>
      <c r="X3" s="4"/>
    </row>
    <row r="4" spans="1:26" ht="15" customHeight="1">
      <c r="A4" s="6"/>
      <c r="B4" s="11" t="s">
        <v>8</v>
      </c>
      <c r="C4" s="12">
        <v>0.08</v>
      </c>
      <c r="D4" s="4"/>
      <c r="E4" s="4"/>
      <c r="F4" s="4"/>
      <c r="G4" s="4"/>
      <c r="H4" s="4"/>
      <c r="I4" s="4"/>
      <c r="J4" s="11" t="s">
        <v>9</v>
      </c>
      <c r="K4" s="13"/>
      <c r="L4" s="13"/>
      <c r="M4" s="13"/>
      <c r="N4" s="14" t="s">
        <v>6</v>
      </c>
      <c r="O4" s="4"/>
      <c r="P4" s="4"/>
      <c r="Q4" s="4"/>
      <c r="R4" s="589"/>
      <c r="S4" s="589"/>
      <c r="T4" s="589"/>
      <c r="U4" s="4"/>
      <c r="V4" s="4"/>
      <c r="W4" s="4"/>
      <c r="X4" s="4"/>
    </row>
    <row r="5" spans="1:26" ht="14.25" customHeight="1">
      <c r="A5" s="6"/>
      <c r="B5" s="11" t="s">
        <v>10</v>
      </c>
      <c r="C5" s="14" t="s">
        <v>11</v>
      </c>
      <c r="D5" s="4"/>
      <c r="E5" s="4"/>
      <c r="F5" s="4"/>
      <c r="G5" s="4"/>
      <c r="H5" s="4"/>
      <c r="I5" s="4"/>
      <c r="J5" s="11" t="s">
        <v>12</v>
      </c>
      <c r="K5" s="13"/>
      <c r="L5" s="13"/>
      <c r="M5" s="13"/>
      <c r="N5" s="14">
        <v>1</v>
      </c>
      <c r="O5" s="4"/>
      <c r="P5" s="4"/>
      <c r="Q5" s="4"/>
      <c r="R5" s="589"/>
      <c r="S5" s="589"/>
      <c r="T5" s="589"/>
      <c r="U5" s="4"/>
      <c r="V5" s="4"/>
      <c r="W5" s="4"/>
      <c r="X5" s="4"/>
    </row>
    <row r="6" spans="1:26" ht="14.25" customHeight="1">
      <c r="A6" s="6"/>
      <c r="B6" s="11" t="s">
        <v>13</v>
      </c>
      <c r="C6" s="14" t="s">
        <v>14</v>
      </c>
      <c r="D6" s="4"/>
      <c r="E6" s="4"/>
      <c r="F6" s="4"/>
      <c r="G6" s="4"/>
      <c r="H6" s="4"/>
      <c r="I6" s="4"/>
      <c r="J6" s="11" t="s">
        <v>15</v>
      </c>
      <c r="K6" s="15"/>
      <c r="L6" s="15"/>
      <c r="M6" s="15"/>
      <c r="N6" s="14">
        <v>5</v>
      </c>
      <c r="O6" s="4"/>
      <c r="P6" s="16" t="s">
        <v>16</v>
      </c>
      <c r="Q6" s="4"/>
      <c r="R6" s="4"/>
      <c r="S6" s="4"/>
      <c r="T6" s="4"/>
      <c r="U6" s="4"/>
      <c r="V6" s="4"/>
      <c r="W6" s="4"/>
      <c r="X6" s="4"/>
    </row>
    <row r="7" spans="1:26" ht="14.25" customHeight="1">
      <c r="A7" s="6"/>
      <c r="B7" s="11" t="s">
        <v>17</v>
      </c>
      <c r="C7" s="17" t="s">
        <v>18</v>
      </c>
      <c r="D7" s="4"/>
      <c r="E7" s="4"/>
      <c r="F7" s="4"/>
      <c r="G7" s="4"/>
      <c r="H7" s="4"/>
      <c r="I7" s="4"/>
      <c r="J7" s="11" t="s">
        <v>19</v>
      </c>
      <c r="K7" s="15"/>
      <c r="L7" s="15"/>
      <c r="M7" s="15"/>
      <c r="N7" s="14">
        <v>1</v>
      </c>
      <c r="O7" s="4"/>
      <c r="P7" s="18">
        <f>(ROUNDUP(N7/N9,0))*N10</f>
        <v>1</v>
      </c>
      <c r="Q7" s="4"/>
      <c r="R7" s="590" t="s">
        <v>20</v>
      </c>
      <c r="S7" s="590"/>
      <c r="T7" s="590"/>
      <c r="U7" s="4"/>
      <c r="V7" s="4"/>
      <c r="W7" s="4"/>
      <c r="X7" s="4"/>
    </row>
    <row r="8" spans="1:26" ht="14.25" customHeight="1">
      <c r="A8" s="6"/>
      <c r="B8" s="11" t="s">
        <v>21</v>
      </c>
      <c r="C8" s="17" t="s">
        <v>22</v>
      </c>
      <c r="D8" s="4"/>
      <c r="E8" s="4"/>
      <c r="F8" s="4"/>
      <c r="G8" s="4"/>
      <c r="H8" s="4"/>
      <c r="I8" s="4"/>
      <c r="J8" s="11" t="s">
        <v>23</v>
      </c>
      <c r="K8" s="13"/>
      <c r="L8" s="13"/>
      <c r="M8" s="13"/>
      <c r="N8" s="14">
        <v>25</v>
      </c>
      <c r="O8" s="4"/>
      <c r="P8" s="19" t="s">
        <v>24</v>
      </c>
      <c r="Q8" s="4"/>
      <c r="R8" s="590"/>
      <c r="S8" s="590"/>
      <c r="T8" s="590"/>
      <c r="U8" s="4"/>
      <c r="V8" s="4"/>
      <c r="W8" s="4"/>
      <c r="X8" s="4"/>
    </row>
    <row r="9" spans="1:26" ht="14.25" customHeight="1">
      <c r="A9" s="6"/>
      <c r="B9" s="11" t="s">
        <v>25</v>
      </c>
      <c r="C9" s="14">
        <v>1</v>
      </c>
      <c r="D9" s="4"/>
      <c r="E9" s="4"/>
      <c r="F9" s="4"/>
      <c r="G9" s="4"/>
      <c r="H9" s="4"/>
      <c r="I9" s="4"/>
      <c r="J9" s="11" t="s">
        <v>26</v>
      </c>
      <c r="K9" s="15"/>
      <c r="L9" s="15"/>
      <c r="M9" s="15"/>
      <c r="N9" s="14">
        <v>10</v>
      </c>
      <c r="O9" s="4"/>
      <c r="P9" s="19">
        <f>(ROUNDUP(N6/N8,0))*N10</f>
        <v>1</v>
      </c>
      <c r="Q9" s="4"/>
      <c r="R9" s="590"/>
      <c r="S9" s="590"/>
      <c r="T9" s="590"/>
      <c r="U9" s="4"/>
      <c r="V9" s="4"/>
      <c r="W9" s="4">
        <v>1</v>
      </c>
      <c r="X9" s="4" t="s">
        <v>27</v>
      </c>
      <c r="Y9" s="4">
        <v>2</v>
      </c>
      <c r="Z9" s="4" t="s">
        <v>28</v>
      </c>
    </row>
    <row r="10" spans="1:26" ht="14.25" customHeight="1">
      <c r="A10" s="6"/>
      <c r="B10" s="20" t="s">
        <v>29</v>
      </c>
      <c r="C10" s="21">
        <v>1</v>
      </c>
      <c r="D10" s="4"/>
      <c r="E10" s="22"/>
      <c r="F10" s="4"/>
      <c r="G10" s="4"/>
      <c r="H10" s="4"/>
      <c r="I10" s="4"/>
      <c r="J10" s="20" t="s">
        <v>30</v>
      </c>
      <c r="K10" s="23"/>
      <c r="L10" s="23"/>
      <c r="M10" s="23"/>
      <c r="N10" s="21">
        <v>1</v>
      </c>
      <c r="O10" s="4"/>
      <c r="P10" s="4"/>
      <c r="Q10" s="4"/>
      <c r="R10" s="590"/>
      <c r="S10" s="590"/>
      <c r="T10" s="590"/>
      <c r="U10" s="4"/>
      <c r="V10" s="4"/>
      <c r="W10" s="4">
        <v>24</v>
      </c>
      <c r="X10" s="4"/>
      <c r="Y10" s="4">
        <v>25</v>
      </c>
    </row>
    <row r="11" spans="1:26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6" ht="14.25" customHeight="1">
      <c r="A12" s="591" t="s">
        <v>31</v>
      </c>
      <c r="B12" s="591" t="s">
        <v>32</v>
      </c>
      <c r="C12" s="592" t="s">
        <v>33</v>
      </c>
      <c r="D12" s="592"/>
      <c r="E12" s="592"/>
      <c r="F12" s="592"/>
      <c r="G12" s="592"/>
      <c r="H12" s="592"/>
      <c r="I12" s="592"/>
      <c r="J12" s="592"/>
      <c r="K12" s="592"/>
      <c r="L12" s="592"/>
      <c r="M12" s="592"/>
      <c r="N12" s="592"/>
      <c r="O12" s="592"/>
      <c r="P12" s="592"/>
      <c r="Q12" s="592"/>
      <c r="R12" s="592"/>
      <c r="S12" s="592"/>
      <c r="T12" s="592"/>
      <c r="U12" s="4"/>
      <c r="V12" s="4"/>
      <c r="W12" s="4"/>
      <c r="X12" s="4"/>
    </row>
    <row r="13" spans="1:26" ht="75" customHeight="1">
      <c r="A13" s="591"/>
      <c r="B13" s="591"/>
      <c r="C13" s="24" t="s">
        <v>34</v>
      </c>
      <c r="D13" s="24" t="s">
        <v>35</v>
      </c>
      <c r="E13" s="591" t="s">
        <v>36</v>
      </c>
      <c r="F13" s="591"/>
      <c r="G13" s="591"/>
      <c r="H13" s="593" t="s">
        <v>37</v>
      </c>
      <c r="I13" s="593"/>
      <c r="J13" s="593"/>
      <c r="K13" s="591" t="s">
        <v>38</v>
      </c>
      <c r="L13" s="591"/>
      <c r="M13" s="591"/>
      <c r="N13" s="25" t="s">
        <v>39</v>
      </c>
      <c r="O13" s="591" t="s">
        <v>40</v>
      </c>
      <c r="P13" s="591"/>
      <c r="Q13" s="591"/>
      <c r="R13" s="25" t="s">
        <v>41</v>
      </c>
      <c r="S13" s="25" t="s">
        <v>42</v>
      </c>
      <c r="T13" s="25" t="s">
        <v>43</v>
      </c>
      <c r="U13" s="6"/>
      <c r="V13" s="6"/>
      <c r="W13" s="4"/>
      <c r="X13" s="4"/>
    </row>
    <row r="14" spans="1:26" ht="30" customHeight="1">
      <c r="A14" s="25"/>
      <c r="B14" s="25"/>
      <c r="C14" s="24"/>
      <c r="D14" s="24"/>
      <c r="E14" s="24" t="s">
        <v>44</v>
      </c>
      <c r="F14" s="25" t="s">
        <v>45</v>
      </c>
      <c r="G14" s="25" t="s">
        <v>46</v>
      </c>
      <c r="H14" s="25" t="s">
        <v>44</v>
      </c>
      <c r="I14" s="25" t="s">
        <v>45</v>
      </c>
      <c r="J14" s="25" t="s">
        <v>46</v>
      </c>
      <c r="K14" s="25" t="s">
        <v>44</v>
      </c>
      <c r="L14" s="25" t="s">
        <v>45</v>
      </c>
      <c r="M14" s="25" t="s">
        <v>46</v>
      </c>
      <c r="N14" s="25"/>
      <c r="O14" s="25" t="s">
        <v>44</v>
      </c>
      <c r="P14" s="25" t="s">
        <v>45</v>
      </c>
      <c r="Q14" s="25" t="s">
        <v>46</v>
      </c>
      <c r="R14" s="25"/>
      <c r="S14" s="25"/>
      <c r="T14" s="25"/>
      <c r="U14" s="6"/>
      <c r="V14" s="6"/>
      <c r="W14" s="4"/>
      <c r="X14" s="4"/>
    </row>
    <row r="15" spans="1:26">
      <c r="A15" s="26" t="s">
        <v>47</v>
      </c>
      <c r="B15" s="27" t="s">
        <v>48</v>
      </c>
      <c r="C15" s="28">
        <f>Funcionalidades!H2</f>
        <v>1</v>
      </c>
      <c r="D15" s="28">
        <f>IF(A15="x", Funcionalidades!$M$3, "")</f>
        <v>5.2899000000000003</v>
      </c>
      <c r="E15" s="28">
        <f>IF(A15&lt;&gt;"x", "", IF(C6&lt;&gt;"Sem integração",(IF(AND(OR(C5="ALIARE - AGB",C5="SIMER",C5="ALIARE - SOLUTION"),C6="API padrão ERP"),Funcionalidades!I2,IF(AND(C5="ALIARE - AGB",C6="Integração (antiga)"),#REF!,IF(AND(OR(C5&lt;&gt;"ALIARE - AGB",C5&lt;&gt;"SIMER",C5&lt;&gt;"ALIARE - SOLUTION"),C6="API padrão ERP"),'Aliare Integra ERP Terceiro'!B117*24,Funcionalidades!I2)))),0))*'AGBCLOVER-Listagem dos fluxos'!$G$14</f>
        <v>20</v>
      </c>
      <c r="F15" s="28">
        <v>0</v>
      </c>
      <c r="G15" s="28">
        <f>IF($A$15 = "x", IF($C$7 = "SIM",$E$15*0.3, E15),"0,00")</f>
        <v>20</v>
      </c>
      <c r="H15" s="28">
        <f>IF(A15="x", Funcionalidades!L2, "")</f>
        <v>17.268899999999999</v>
      </c>
      <c r="I15" s="28" t="str">
        <f>IF(A15 = "x", IF($C$7 = "SIM",H15*0.7, " "), " ")</f>
        <v xml:space="preserve"> </v>
      </c>
      <c r="J15" s="28">
        <f>IF(A15 = "x", IF($C$7 = "SIM",H15*0.3, H15)," ")</f>
        <v>17.268899999999999</v>
      </c>
      <c r="K15" s="29">
        <f>IF(A15="x", Funcionalidades!$N$3, "")</f>
        <v>5.2899000000000003</v>
      </c>
      <c r="L15" s="28" t="str">
        <f t="shared" ref="L15:L27" si="0">IF(A15 = "x", IF($C$7 = "SIM",K15*0.7, " "), K15)</f>
        <v xml:space="preserve"> </v>
      </c>
      <c r="M15" s="28">
        <f t="shared" ref="M15:M27" si="1">IF(A15 = "x", IF($C$7 = "SIM",K15*0.3, K15), " ")</f>
        <v>5.2899000000000003</v>
      </c>
      <c r="N15" s="28">
        <f>IF(A15="x", Funcionalidades!$O$3, "")</f>
        <v>10.517099999999999</v>
      </c>
      <c r="O15" s="28">
        <f>IF(A15="x", Funcionalidades!$P$3, "")</f>
        <v>2.6465999999999998</v>
      </c>
      <c r="P15" s="28" t="str">
        <f t="shared" ref="P15:P27" si="2">IF(A15 = "x", IF($C$7 = "SIM",O15*0.7, " "), O15)</f>
        <v xml:space="preserve"> </v>
      </c>
      <c r="Q15" s="28">
        <f t="shared" ref="Q15:Q27" si="3">IF(A15 = "x", IF($C$7 = "SIM",O15*0.3, O15)," ")</f>
        <v>2.6465999999999998</v>
      </c>
      <c r="R15" s="28">
        <f>IF($A15="x", Funcionalidades!$Q$3, "")</f>
        <v>3.9666000000000001</v>
      </c>
      <c r="S15" s="30">
        <f>8*$C$9*N10</f>
        <v>8</v>
      </c>
      <c r="T15" s="28">
        <v>12</v>
      </c>
      <c r="U15" s="6"/>
      <c r="V15" s="6"/>
      <c r="W15" s="4"/>
      <c r="X15" s="4"/>
    </row>
    <row r="16" spans="1:26">
      <c r="A16" s="26"/>
      <c r="B16" s="27" t="s">
        <v>49</v>
      </c>
      <c r="C16" s="28"/>
      <c r="D16" s="28" t="str">
        <f>IF(A16="x", Funcionalidades!$M$100, "")</f>
        <v/>
      </c>
      <c r="E16" s="28"/>
      <c r="F16" s="28"/>
      <c r="G16" s="28"/>
      <c r="H16" s="28"/>
      <c r="I16" s="28"/>
      <c r="J16" s="28"/>
      <c r="K16" s="29" t="str">
        <f>IF(A16="x", Funcionalidades!$N$100, "")</f>
        <v/>
      </c>
      <c r="L16" s="28" t="str">
        <f t="shared" si="0"/>
        <v/>
      </c>
      <c r="M16" s="28" t="str">
        <f t="shared" si="1"/>
        <v xml:space="preserve"> </v>
      </c>
      <c r="N16" s="28" t="str">
        <f>IF(A16="x", Funcionalidades!$O$100, "")</f>
        <v/>
      </c>
      <c r="O16" s="28" t="str">
        <f>IF(A16="x", Funcionalidades!$P$100, "")</f>
        <v/>
      </c>
      <c r="P16" s="28" t="str">
        <f t="shared" si="2"/>
        <v/>
      </c>
      <c r="Q16" s="28" t="str">
        <f t="shared" si="3"/>
        <v xml:space="preserve"> </v>
      </c>
      <c r="R16" s="28" t="str">
        <f>IF(A16="x", Funcionalidades!$Q$100, "")</f>
        <v/>
      </c>
      <c r="S16" s="28"/>
      <c r="T16" s="28"/>
      <c r="U16" s="4"/>
      <c r="V16" s="4"/>
      <c r="W16" s="4"/>
      <c r="X16" s="4"/>
    </row>
    <row r="17" spans="1:24" ht="13.5" customHeight="1">
      <c r="A17" s="26"/>
      <c r="B17" s="27" t="s">
        <v>50</v>
      </c>
      <c r="C17" s="28"/>
      <c r="D17" s="28" t="str">
        <f>IF(A17="x", Funcionalidades!$M$126, "")</f>
        <v/>
      </c>
      <c r="E17" s="28"/>
      <c r="F17" s="28"/>
      <c r="G17" s="28"/>
      <c r="H17" s="28"/>
      <c r="I17" s="28"/>
      <c r="J17" s="28"/>
      <c r="K17" s="29" t="str">
        <f>IF(A17="x", Funcionalidades!$N$126, "")</f>
        <v/>
      </c>
      <c r="L17" s="28" t="str">
        <f t="shared" si="0"/>
        <v/>
      </c>
      <c r="M17" s="28" t="str">
        <f t="shared" si="1"/>
        <v xml:space="preserve"> </v>
      </c>
      <c r="N17" s="28" t="str">
        <f>IF(A17="x", Funcionalidades!$O$126, "")</f>
        <v/>
      </c>
      <c r="O17" s="28" t="str">
        <f>IF(A17="x", Funcionalidades!$P$126, "")</f>
        <v/>
      </c>
      <c r="P17" s="28" t="str">
        <f t="shared" si="2"/>
        <v/>
      </c>
      <c r="Q17" s="28" t="str">
        <f t="shared" si="3"/>
        <v xml:space="preserve"> </v>
      </c>
      <c r="R17" s="28" t="str">
        <f>IF(A17="x", Funcionalidades!$Q$126, "")</f>
        <v/>
      </c>
      <c r="S17" s="28"/>
      <c r="T17" s="28"/>
      <c r="U17" s="4"/>
      <c r="V17" s="4"/>
      <c r="W17" s="4"/>
      <c r="X17" s="4"/>
    </row>
    <row r="18" spans="1:24">
      <c r="A18" s="26"/>
      <c r="B18" s="27" t="s">
        <v>51</v>
      </c>
      <c r="C18" s="28"/>
      <c r="D18" s="28" t="str">
        <f>IF(A18="x", Funcionalidades!$M$216, "")</f>
        <v/>
      </c>
      <c r="E18" s="28"/>
      <c r="F18" s="28"/>
      <c r="G18" s="28"/>
      <c r="H18" s="28"/>
      <c r="I18" s="28"/>
      <c r="J18" s="28"/>
      <c r="K18" s="29" t="str">
        <f>IF(A18="x", Funcionalidades!$N$216, "")</f>
        <v/>
      </c>
      <c r="L18" s="28" t="str">
        <f t="shared" si="0"/>
        <v/>
      </c>
      <c r="M18" s="28" t="str">
        <f t="shared" si="1"/>
        <v xml:space="preserve"> </v>
      </c>
      <c r="N18" s="28" t="str">
        <f>IF(A18="x", Funcionalidades!$O$216, "")</f>
        <v/>
      </c>
      <c r="O18" s="28" t="str">
        <f>IF(A18="x", Funcionalidades!$P$216, "")</f>
        <v/>
      </c>
      <c r="P18" s="28" t="str">
        <f t="shared" si="2"/>
        <v/>
      </c>
      <c r="Q18" s="28" t="str">
        <f t="shared" si="3"/>
        <v xml:space="preserve"> </v>
      </c>
      <c r="R18" s="28" t="str">
        <f>IF(A18="x", Funcionalidades!$Q$216, "")</f>
        <v/>
      </c>
      <c r="S18" s="28"/>
      <c r="T18" s="28"/>
      <c r="U18" s="4"/>
      <c r="V18" s="4"/>
      <c r="W18" s="4"/>
      <c r="X18" s="4"/>
    </row>
    <row r="19" spans="1:24">
      <c r="A19" s="26"/>
      <c r="B19" s="27" t="s">
        <v>52</v>
      </c>
      <c r="C19" s="28"/>
      <c r="D19" s="28" t="str">
        <f>IF(A19="x", Funcionalidades!$M$231, "")</f>
        <v/>
      </c>
      <c r="E19" s="28"/>
      <c r="F19" s="28"/>
      <c r="G19" s="28"/>
      <c r="H19" s="28"/>
      <c r="I19" s="28"/>
      <c r="J19" s="28"/>
      <c r="K19" s="29" t="str">
        <f>IF(A19="x", Funcionalidades!$N$231, "")</f>
        <v/>
      </c>
      <c r="L19" s="28" t="str">
        <f t="shared" si="0"/>
        <v/>
      </c>
      <c r="M19" s="28" t="str">
        <f t="shared" si="1"/>
        <v xml:space="preserve"> </v>
      </c>
      <c r="N19" s="28" t="str">
        <f>IF(A19="x", Funcionalidades!$O$231, "")</f>
        <v/>
      </c>
      <c r="O19" s="28" t="str">
        <f>IF(A19="x", Funcionalidades!$P$231, "")</f>
        <v/>
      </c>
      <c r="P19" s="28" t="str">
        <f t="shared" si="2"/>
        <v/>
      </c>
      <c r="Q19" s="28" t="str">
        <f t="shared" si="3"/>
        <v xml:space="preserve"> </v>
      </c>
      <c r="R19" s="28" t="str">
        <f>IF(A19="x", Funcionalidades!$Q$231, "")</f>
        <v/>
      </c>
      <c r="S19" s="28"/>
      <c r="T19" s="28"/>
      <c r="U19" s="4"/>
      <c r="V19" s="4"/>
      <c r="W19" s="4"/>
      <c r="X19" s="4"/>
    </row>
    <row r="20" spans="1:24">
      <c r="A20" s="26"/>
      <c r="B20" s="27" t="s">
        <v>53</v>
      </c>
      <c r="C20" s="28"/>
      <c r="D20" s="28" t="str">
        <f>IF(A20="x", Funcionalidades!$M$264, "")</f>
        <v/>
      </c>
      <c r="E20" s="28"/>
      <c r="F20" s="28"/>
      <c r="G20" s="28"/>
      <c r="H20" s="28"/>
      <c r="I20" s="28"/>
      <c r="J20" s="28"/>
      <c r="K20" s="29" t="str">
        <f>IF(A20="x", Funcionalidades!$N$264, "")</f>
        <v/>
      </c>
      <c r="L20" s="28" t="str">
        <f t="shared" si="0"/>
        <v/>
      </c>
      <c r="M20" s="28" t="str">
        <f t="shared" si="1"/>
        <v xml:space="preserve"> </v>
      </c>
      <c r="N20" s="28" t="str">
        <f>IF(A20="x", Funcionalidades!$O$264, "")</f>
        <v/>
      </c>
      <c r="O20" s="28" t="str">
        <f>IF(A20="x", Funcionalidades!$P$264, "")</f>
        <v/>
      </c>
      <c r="P20" s="28" t="str">
        <f t="shared" si="2"/>
        <v/>
      </c>
      <c r="Q20" s="28" t="str">
        <f t="shared" si="3"/>
        <v xml:space="preserve"> </v>
      </c>
      <c r="R20" s="28" t="str">
        <f>IF(A20="x", Funcionalidades!$Q$264, "")</f>
        <v/>
      </c>
      <c r="S20" s="28"/>
      <c r="T20" s="28"/>
      <c r="U20" s="4"/>
      <c r="V20" s="4"/>
      <c r="W20" s="4"/>
      <c r="X20" s="4"/>
    </row>
    <row r="21" spans="1:24">
      <c r="A21" s="26"/>
      <c r="B21" s="27" t="s">
        <v>54</v>
      </c>
      <c r="C21" s="28"/>
      <c r="D21" s="28" t="str">
        <f>IF(A21="x", Funcionalidades!$M$274, "")</f>
        <v/>
      </c>
      <c r="E21" s="28"/>
      <c r="F21" s="28"/>
      <c r="G21" s="28"/>
      <c r="H21" s="28"/>
      <c r="I21" s="28"/>
      <c r="J21" s="28"/>
      <c r="K21" s="29" t="str">
        <f>IF(A21="x", Funcionalidades!$N$274, "")</f>
        <v/>
      </c>
      <c r="L21" s="28" t="str">
        <f t="shared" si="0"/>
        <v/>
      </c>
      <c r="M21" s="28" t="str">
        <f t="shared" si="1"/>
        <v xml:space="preserve"> </v>
      </c>
      <c r="N21" s="28" t="str">
        <f>IF(A21="x", Funcionalidades!$O$274, "")</f>
        <v/>
      </c>
      <c r="O21" s="28" t="str">
        <f>IF(A21="x", Funcionalidades!$P$274, "")</f>
        <v/>
      </c>
      <c r="P21" s="28" t="str">
        <f t="shared" si="2"/>
        <v/>
      </c>
      <c r="Q21" s="28" t="str">
        <f t="shared" si="3"/>
        <v xml:space="preserve"> </v>
      </c>
      <c r="R21" s="28" t="str">
        <f>IF(A21="x", Funcionalidades!$Q$274, "")</f>
        <v/>
      </c>
      <c r="S21" s="28"/>
      <c r="T21" s="28"/>
      <c r="U21" s="4"/>
      <c r="V21" s="4"/>
      <c r="W21" s="4"/>
      <c r="X21" s="4"/>
    </row>
    <row r="22" spans="1:24">
      <c r="A22" s="26"/>
      <c r="B22" s="27" t="s">
        <v>55</v>
      </c>
      <c r="C22" s="28"/>
      <c r="D22" s="28" t="str">
        <f>IF(A22="x", Funcionalidades!$M$294, "")</f>
        <v/>
      </c>
      <c r="E22" s="28"/>
      <c r="F22" s="28"/>
      <c r="G22" s="28"/>
      <c r="H22" s="28"/>
      <c r="I22" s="28"/>
      <c r="J22" s="28"/>
      <c r="K22" s="29" t="str">
        <f>IF(A22="x", Funcionalidades!$N$294, "")</f>
        <v/>
      </c>
      <c r="L22" s="28" t="str">
        <f t="shared" si="0"/>
        <v/>
      </c>
      <c r="M22" s="28" t="str">
        <f t="shared" si="1"/>
        <v xml:space="preserve"> </v>
      </c>
      <c r="N22" s="28" t="str">
        <f>IF(A22="x", Funcionalidades!$O$294, "")</f>
        <v/>
      </c>
      <c r="O22" s="28" t="str">
        <f>IF(A22="x", Funcionalidades!$P$294, "")</f>
        <v/>
      </c>
      <c r="P22" s="28" t="str">
        <f t="shared" si="2"/>
        <v/>
      </c>
      <c r="Q22" s="28" t="str">
        <f t="shared" si="3"/>
        <v xml:space="preserve"> </v>
      </c>
      <c r="R22" s="28" t="str">
        <f>IF(A22="x", Funcionalidades!$Q$294, "")</f>
        <v/>
      </c>
      <c r="S22" s="28"/>
      <c r="T22" s="28"/>
      <c r="U22" s="4"/>
      <c r="V22" s="4"/>
      <c r="W22" s="4"/>
      <c r="X22" s="4"/>
    </row>
    <row r="23" spans="1:24">
      <c r="A23" s="26" t="s">
        <v>47</v>
      </c>
      <c r="B23" s="27" t="s">
        <v>56</v>
      </c>
      <c r="C23" s="28"/>
      <c r="D23" s="28">
        <f>IF(A23="x", Funcionalidades!$M$142, "")</f>
        <v>5.9894999999999996</v>
      </c>
      <c r="E23" s="28"/>
      <c r="F23" s="28"/>
      <c r="G23" s="28"/>
      <c r="H23" s="28"/>
      <c r="I23" s="28"/>
      <c r="J23" s="28"/>
      <c r="K23" s="29">
        <f>IF(A23="x", Funcionalidades!$N$142, "")</f>
        <v>11.978999999999999</v>
      </c>
      <c r="L23" s="28" t="str">
        <f t="shared" si="0"/>
        <v xml:space="preserve"> </v>
      </c>
      <c r="M23" s="28">
        <f t="shared" si="1"/>
        <v>11.978999999999999</v>
      </c>
      <c r="N23" s="28">
        <f>IF(A23="x", Funcionalidades!$O$142, "")</f>
        <v>8.9864999999999995</v>
      </c>
      <c r="O23" s="28">
        <f>IF(A23="x", Funcionalidades!$P$142, "")</f>
        <v>3.06</v>
      </c>
      <c r="P23" s="28" t="str">
        <f t="shared" si="2"/>
        <v xml:space="preserve"> </v>
      </c>
      <c r="Q23" s="28">
        <f t="shared" si="3"/>
        <v>3.06</v>
      </c>
      <c r="R23" s="28">
        <f>IF(A23="x", Funcionalidades!$Q$142, "")</f>
        <v>2.9970000000000003</v>
      </c>
      <c r="S23" s="28"/>
      <c r="T23" s="28"/>
      <c r="U23" s="4"/>
      <c r="V23" s="4"/>
      <c r="W23" s="4"/>
      <c r="X23" s="4"/>
    </row>
    <row r="24" spans="1:24">
      <c r="A24" s="26"/>
      <c r="B24" s="27" t="s">
        <v>57</v>
      </c>
      <c r="C24" s="28"/>
      <c r="D24" s="28" t="str">
        <f>IF(A24="x", Funcionalidades!$M$193, "")</f>
        <v/>
      </c>
      <c r="E24" s="28"/>
      <c r="F24" s="28"/>
      <c r="G24" s="28"/>
      <c r="H24" s="28"/>
      <c r="I24" s="28"/>
      <c r="J24" s="28"/>
      <c r="K24" s="29" t="str">
        <f>IF(A24="x", Funcionalidades!$N$193, "")</f>
        <v/>
      </c>
      <c r="L24" s="28" t="str">
        <f t="shared" si="0"/>
        <v/>
      </c>
      <c r="M24" s="28" t="str">
        <f t="shared" si="1"/>
        <v xml:space="preserve"> </v>
      </c>
      <c r="N24" s="28" t="str">
        <f>IF(A24="x", Funcionalidades!$O$193, "")</f>
        <v/>
      </c>
      <c r="O24" s="28" t="str">
        <f>IF(A24="x", Funcionalidades!$P$193, "")</f>
        <v/>
      </c>
      <c r="P24" s="28" t="str">
        <f t="shared" si="2"/>
        <v/>
      </c>
      <c r="Q24" s="28" t="str">
        <f t="shared" si="3"/>
        <v xml:space="preserve"> </v>
      </c>
      <c r="R24" s="28" t="str">
        <f>IF(A24="x", Funcionalidades!$Q$193, "")</f>
        <v/>
      </c>
      <c r="S24" s="28"/>
      <c r="T24" s="28"/>
      <c r="U24" s="4"/>
      <c r="V24" s="4"/>
      <c r="W24" s="4"/>
      <c r="X24" s="4"/>
    </row>
    <row r="25" spans="1:24">
      <c r="A25" s="26"/>
      <c r="B25" s="27" t="s">
        <v>58</v>
      </c>
      <c r="C25" s="28"/>
      <c r="D25" s="28" t="str">
        <f>IF(A25="x", Funcionalidades!$M$248, "")</f>
        <v/>
      </c>
      <c r="E25" s="28"/>
      <c r="F25" s="28"/>
      <c r="G25" s="28"/>
      <c r="H25" s="28"/>
      <c r="I25" s="28"/>
      <c r="J25" s="28"/>
      <c r="K25" s="29" t="str">
        <f>IF(A25="x", Funcionalidades!$N$248, "")</f>
        <v/>
      </c>
      <c r="L25" s="28" t="str">
        <f t="shared" si="0"/>
        <v/>
      </c>
      <c r="M25" s="28" t="str">
        <f t="shared" si="1"/>
        <v xml:space="preserve"> </v>
      </c>
      <c r="N25" s="28" t="str">
        <f>IF(A25="x", Funcionalidades!$O$248, "")</f>
        <v/>
      </c>
      <c r="O25" s="28" t="str">
        <f>IF(A25="x", Funcionalidades!$P$248, "")</f>
        <v/>
      </c>
      <c r="P25" s="28" t="str">
        <f t="shared" si="2"/>
        <v/>
      </c>
      <c r="Q25" s="28" t="str">
        <f t="shared" si="3"/>
        <v xml:space="preserve"> </v>
      </c>
      <c r="R25" s="28" t="str">
        <f>IF(A25="x", Funcionalidades!$Q$248, "")</f>
        <v/>
      </c>
      <c r="S25" s="28"/>
      <c r="T25" s="28"/>
      <c r="U25" s="4"/>
      <c r="V25" s="4"/>
      <c r="W25" s="4"/>
      <c r="X25" s="4"/>
    </row>
    <row r="26" spans="1:24">
      <c r="A26" s="26"/>
      <c r="B26" s="27" t="s">
        <v>59</v>
      </c>
      <c r="C26" s="28"/>
      <c r="D26" s="28" t="str">
        <f>IF(A26="x", Funcionalidades!M222, "")</f>
        <v/>
      </c>
      <c r="E26" s="28"/>
      <c r="F26" s="28"/>
      <c r="G26" s="28"/>
      <c r="H26" s="28"/>
      <c r="I26" s="28"/>
      <c r="J26" s="28"/>
      <c r="K26" s="29" t="str">
        <f>IF(A26="x", Funcionalidades!$N$222, "")</f>
        <v/>
      </c>
      <c r="L26" s="28" t="str">
        <f t="shared" si="0"/>
        <v/>
      </c>
      <c r="M26" s="28" t="str">
        <f t="shared" si="1"/>
        <v xml:space="preserve"> </v>
      </c>
      <c r="N26" s="28" t="str">
        <f>IF(A26="x", Funcionalidades!$O$222, "")</f>
        <v/>
      </c>
      <c r="O26" s="28" t="str">
        <f>IF(A26="x", Funcionalidades!$P$222, "")</f>
        <v/>
      </c>
      <c r="P26" s="28" t="str">
        <f t="shared" si="2"/>
        <v/>
      </c>
      <c r="Q26" s="28" t="str">
        <f t="shared" si="3"/>
        <v xml:space="preserve"> </v>
      </c>
      <c r="R26" s="28" t="str">
        <f>IF(A26="x", Funcionalidades!$Q$222, "")</f>
        <v/>
      </c>
      <c r="S26" s="28"/>
      <c r="T26" s="28"/>
      <c r="U26" s="4"/>
      <c r="V26" s="4"/>
      <c r="W26" s="4"/>
      <c r="X26" s="4"/>
    </row>
    <row r="27" spans="1:24">
      <c r="A27" s="26"/>
      <c r="B27" s="27" t="s">
        <v>60</v>
      </c>
      <c r="C27" s="28"/>
      <c r="D27" s="28" t="str">
        <f>IF(A27="x", Funcionalidades!$M$239, "")</f>
        <v/>
      </c>
      <c r="E27" s="28"/>
      <c r="F27" s="28"/>
      <c r="G27" s="28"/>
      <c r="H27" s="28"/>
      <c r="I27" s="28"/>
      <c r="J27" s="28"/>
      <c r="K27" s="29" t="str">
        <f>IF(A27="x", Funcionalidades!$N$239, "")</f>
        <v/>
      </c>
      <c r="L27" s="28" t="str">
        <f t="shared" si="0"/>
        <v/>
      </c>
      <c r="M27" s="28" t="str">
        <f t="shared" si="1"/>
        <v xml:space="preserve"> </v>
      </c>
      <c r="N27" s="28" t="str">
        <f>IF(A27="x", Funcionalidades!$O$239, "")</f>
        <v/>
      </c>
      <c r="O27" s="28" t="str">
        <f>IF(A27="x", Funcionalidades!$P$239, "")</f>
        <v/>
      </c>
      <c r="P27" s="28" t="str">
        <f t="shared" si="2"/>
        <v/>
      </c>
      <c r="Q27" s="28" t="str">
        <f t="shared" si="3"/>
        <v xml:space="preserve"> </v>
      </c>
      <c r="R27" s="28" t="str">
        <f>IF(A27="x", Funcionalidades!$Q$239, "")</f>
        <v/>
      </c>
      <c r="S27" s="28"/>
      <c r="T27" s="28"/>
      <c r="U27" s="4"/>
      <c r="V27" s="4"/>
      <c r="W27" s="4"/>
      <c r="X27" s="4"/>
    </row>
    <row r="28" spans="1:24">
      <c r="A28" s="31">
        <f>COUNTIF(A15:A27,"x")</f>
        <v>2</v>
      </c>
      <c r="B28" s="32" t="s">
        <v>61</v>
      </c>
      <c r="C28" s="33">
        <f>C15</f>
        <v>1</v>
      </c>
      <c r="D28" s="33">
        <f>SUM(D15:D27)</f>
        <v>11.279399999999999</v>
      </c>
      <c r="E28" s="33"/>
      <c r="F28" s="33">
        <f>SUM(F15:F27)</f>
        <v>0</v>
      </c>
      <c r="G28" s="33">
        <f>SUM(G15:G27)</f>
        <v>20</v>
      </c>
      <c r="H28" s="33"/>
      <c r="I28" s="33">
        <f>SUM(I15:I27)</f>
        <v>0</v>
      </c>
      <c r="J28" s="33">
        <f>SUM(J15:J27)</f>
        <v>17.268899999999999</v>
      </c>
      <c r="K28" s="33"/>
      <c r="L28" s="33">
        <f>SUM(L15:L27)</f>
        <v>0</v>
      </c>
      <c r="M28" s="33">
        <f>SUM(M15:M27)</f>
        <v>17.268899999999999</v>
      </c>
      <c r="N28" s="33">
        <f>SUM(N15:N27)</f>
        <v>19.503599999999999</v>
      </c>
      <c r="O28" s="33"/>
      <c r="P28" s="33">
        <f>SUM(P15:P27)</f>
        <v>0</v>
      </c>
      <c r="Q28" s="33">
        <f>SUM(Q15:Q27)</f>
        <v>5.7065999999999999</v>
      </c>
      <c r="R28" s="33">
        <f>SUM(R15:R27)</f>
        <v>6.9636000000000005</v>
      </c>
      <c r="S28" s="33">
        <f>$S$15</f>
        <v>8</v>
      </c>
      <c r="T28" s="33">
        <f>$T$15</f>
        <v>12</v>
      </c>
      <c r="U28" s="4"/>
      <c r="V28" s="4"/>
      <c r="W28" s="4"/>
      <c r="X28" s="4"/>
    </row>
    <row r="29" spans="1:24">
      <c r="A29" s="6"/>
      <c r="B29" s="34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4"/>
      <c r="V29" s="4"/>
      <c r="W29" s="4"/>
      <c r="X29" s="4"/>
    </row>
    <row r="30" spans="1:24">
      <c r="A30" s="6"/>
      <c r="B30" s="7" t="s">
        <v>62</v>
      </c>
      <c r="C30" s="36"/>
      <c r="D30" s="36"/>
      <c r="E30" s="36"/>
      <c r="F30" s="36"/>
      <c r="G30" s="36"/>
      <c r="H30" s="4"/>
      <c r="I30" s="4"/>
      <c r="J30" s="4"/>
      <c r="K30" s="36"/>
      <c r="L30" s="36"/>
      <c r="M30" s="36"/>
      <c r="N30" s="4"/>
      <c r="O30" s="585"/>
      <c r="P30" s="585"/>
      <c r="Q30" s="585"/>
      <c r="R30" s="585"/>
      <c r="S30" s="585"/>
      <c r="T30" s="36"/>
      <c r="U30" s="4"/>
      <c r="V30" s="4"/>
      <c r="W30" s="4"/>
      <c r="X30" s="4"/>
    </row>
    <row r="31" spans="1:24">
      <c r="A31" s="6"/>
      <c r="B31" s="37" t="s">
        <v>63</v>
      </c>
      <c r="C31" s="38" t="s">
        <v>64</v>
      </c>
      <c r="D31" s="38" t="s">
        <v>65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>
      <c r="A32" s="6"/>
      <c r="B32" s="39" t="s">
        <v>66</v>
      </c>
      <c r="C32" s="40">
        <f>ROUNDUP(SUM(C34:C36)*C4,0)</f>
        <v>10</v>
      </c>
      <c r="D32" s="41">
        <f>C32/$C$37</f>
        <v>7.7519379844961239E-2</v>
      </c>
      <c r="E32" s="36"/>
      <c r="F32" s="36"/>
      <c r="G32" s="3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>
      <c r="A33" s="6"/>
      <c r="B33" s="42" t="s">
        <v>67</v>
      </c>
      <c r="C33" s="43">
        <f>ROUNDUP(C28,0)</f>
        <v>1</v>
      </c>
      <c r="D33" s="44">
        <f>C33/$C$37</f>
        <v>7.7519379844961239E-3</v>
      </c>
      <c r="E33" s="36"/>
      <c r="F33" s="36"/>
      <c r="G33" s="3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>
      <c r="A34" s="6"/>
      <c r="B34" s="39" t="s">
        <v>68</v>
      </c>
      <c r="C34" s="40">
        <f>ROUNDUP(SUM($D$28,$L$28:$T$28,$I$28:$J$28),0)</f>
        <v>98</v>
      </c>
      <c r="D34" s="41">
        <f>C34/$C$37</f>
        <v>0.75968992248062017</v>
      </c>
      <c r="E34" s="36"/>
      <c r="F34" s="36"/>
      <c r="G34" s="36"/>
      <c r="H34" s="4"/>
      <c r="I34" s="4"/>
      <c r="J34" s="4"/>
      <c r="K34" s="4"/>
      <c r="L34" s="4"/>
      <c r="M34" s="4"/>
      <c r="N34" s="45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>
      <c r="A35" s="6"/>
      <c r="B35" s="42" t="s">
        <v>69</v>
      </c>
      <c r="C35" s="43">
        <f>ROUNDUP(SUM(F28:G28),0)</f>
        <v>20</v>
      </c>
      <c r="D35" s="44">
        <f>C35/$C$37</f>
        <v>0.15503875968992248</v>
      </c>
      <c r="E35" s="36"/>
      <c r="F35" s="36"/>
      <c r="G35" s="36"/>
      <c r="H35" s="4"/>
      <c r="I35" s="4"/>
      <c r="J35" s="4"/>
      <c r="K35" s="4"/>
      <c r="L35" s="4"/>
      <c r="M35" s="4"/>
      <c r="N35" s="46"/>
      <c r="O35" s="35"/>
      <c r="P35" s="35"/>
      <c r="Q35" s="35"/>
      <c r="R35" s="4"/>
      <c r="S35" s="4"/>
      <c r="T35" s="4"/>
      <c r="U35" s="4"/>
      <c r="V35" s="4"/>
      <c r="W35" s="4"/>
      <c r="X35" s="4"/>
    </row>
    <row r="36" spans="1:24">
      <c r="A36" s="6"/>
      <c r="B36" s="39" t="s">
        <v>70</v>
      </c>
      <c r="C36" s="40">
        <f>D42</f>
        <v>0</v>
      </c>
      <c r="D36" s="41">
        <f>C36/$C$37</f>
        <v>0</v>
      </c>
      <c r="E36" s="36"/>
      <c r="F36" s="36"/>
      <c r="G36" s="3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>
      <c r="A37" s="6"/>
      <c r="B37" s="47" t="s">
        <v>61</v>
      </c>
      <c r="C37" s="48">
        <f>SUM(C32:C36)</f>
        <v>129</v>
      </c>
      <c r="D37" s="49">
        <f>SUM(D32:D36)</f>
        <v>1</v>
      </c>
      <c r="E37" s="46"/>
      <c r="F37" s="46"/>
      <c r="G37" s="46"/>
      <c r="H37" s="50"/>
      <c r="I37" s="50"/>
      <c r="J37" s="50"/>
      <c r="K37" s="50"/>
      <c r="L37" s="50"/>
      <c r="M37" s="5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>
      <c r="A38" s="6"/>
      <c r="B38" s="4"/>
      <c r="C38" s="4"/>
      <c r="D38" s="4"/>
      <c r="E38" s="4"/>
      <c r="F38" s="4"/>
      <c r="G38" s="4"/>
      <c r="H38" s="4"/>
      <c r="I38" s="4"/>
      <c r="J38" s="4"/>
      <c r="K38" s="50"/>
      <c r="L38" s="50"/>
      <c r="M38" s="50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>
      <c r="A39" s="6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>
      <c r="A40" s="51" t="s">
        <v>71</v>
      </c>
      <c r="B40" s="586" t="s">
        <v>72</v>
      </c>
      <c r="C40" s="586"/>
      <c r="D40" s="52" t="s">
        <v>73</v>
      </c>
      <c r="E40" s="52"/>
      <c r="F40" s="53"/>
      <c r="G40" s="4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>
      <c r="A41" s="54">
        <v>1</v>
      </c>
      <c r="B41" s="587" t="s">
        <v>70</v>
      </c>
      <c r="C41" s="587"/>
      <c r="D41" s="55">
        <v>0</v>
      </c>
      <c r="E41" s="55"/>
      <c r="F41" s="5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>
      <c r="A42" s="57"/>
      <c r="B42" s="58"/>
      <c r="C42" s="58" t="s">
        <v>61</v>
      </c>
      <c r="D42" s="59">
        <f>SUM(D41:D41)</f>
        <v>0</v>
      </c>
      <c r="E42" s="59"/>
      <c r="F42" s="6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s="4" customFormat="1">
      <c r="A43" s="6"/>
    </row>
    <row r="44" spans="1:24" s="4" customFormat="1">
      <c r="A44" s="6"/>
    </row>
    <row r="45" spans="1:24" s="4" customFormat="1">
      <c r="A45" s="6"/>
    </row>
    <row r="46" spans="1:24" s="4" customFormat="1">
      <c r="A46" s="6"/>
    </row>
    <row r="47" spans="1:24" s="4" customFormat="1">
      <c r="A47" s="6"/>
    </row>
    <row r="48" spans="1:24" s="4" customFormat="1">
      <c r="A48" s="6"/>
    </row>
    <row r="49" spans="1:2" s="4" customFormat="1">
      <c r="A49" s="6"/>
    </row>
    <row r="50" spans="1:2" s="4" customFormat="1">
      <c r="A50" s="6"/>
    </row>
    <row r="51" spans="1:2" s="4" customFormat="1">
      <c r="A51" s="6"/>
    </row>
    <row r="52" spans="1:2" s="4" customFormat="1">
      <c r="A52" s="6"/>
    </row>
    <row r="53" spans="1:2" s="4" customFormat="1">
      <c r="A53" s="6"/>
      <c r="B53" s="7"/>
    </row>
    <row r="54" spans="1:2" s="4" customFormat="1">
      <c r="A54" s="6"/>
    </row>
    <row r="55" spans="1:2" s="4" customFormat="1">
      <c r="A55" s="6"/>
    </row>
    <row r="56" spans="1:2" s="4" customFormat="1">
      <c r="A56" s="6"/>
    </row>
    <row r="57" spans="1:2" s="4" customFormat="1">
      <c r="A57" s="6"/>
    </row>
    <row r="58" spans="1:2" s="4" customFormat="1">
      <c r="A58" s="6"/>
    </row>
    <row r="59" spans="1:2" s="4" customFormat="1">
      <c r="A59" s="6"/>
    </row>
    <row r="60" spans="1:2" s="4" customFormat="1">
      <c r="A60" s="6"/>
    </row>
    <row r="61" spans="1:2" s="4" customFormat="1">
      <c r="A61" s="6"/>
    </row>
    <row r="62" spans="1:2" s="4" customFormat="1">
      <c r="A62" s="6"/>
    </row>
    <row r="63" spans="1:2" s="4" customFormat="1">
      <c r="A63" s="6"/>
    </row>
    <row r="64" spans="1:2" s="4" customFormat="1">
      <c r="A64" s="6"/>
    </row>
    <row r="65" spans="1:1" s="4" customFormat="1">
      <c r="A65" s="6"/>
    </row>
    <row r="66" spans="1:1" s="4" customFormat="1">
      <c r="A66" s="6"/>
    </row>
    <row r="67" spans="1:1" s="4" customFormat="1">
      <c r="A67" s="6"/>
    </row>
    <row r="68" spans="1:1" s="4" customFormat="1">
      <c r="A68" s="6"/>
    </row>
    <row r="69" spans="1:1" s="4" customFormat="1">
      <c r="A69" s="6"/>
    </row>
    <row r="70" spans="1:1" s="4" customFormat="1">
      <c r="A70" s="6"/>
    </row>
    <row r="71" spans="1:1" s="4" customFormat="1">
      <c r="A71" s="6"/>
    </row>
    <row r="72" spans="1:1" s="4" customFormat="1">
      <c r="A72" s="6"/>
    </row>
    <row r="73" spans="1:1" s="4" customFormat="1">
      <c r="A73" s="6"/>
    </row>
    <row r="74" spans="1:1" s="4" customFormat="1">
      <c r="A74" s="6"/>
    </row>
    <row r="75" spans="1:1" s="4" customFormat="1">
      <c r="A75" s="6"/>
    </row>
    <row r="76" spans="1:1" s="4" customFormat="1">
      <c r="A76" s="6"/>
    </row>
    <row r="77" spans="1:1" s="4" customFormat="1">
      <c r="A77" s="6"/>
    </row>
    <row r="78" spans="1:1" s="4" customFormat="1">
      <c r="A78" s="6"/>
    </row>
    <row r="79" spans="1:1" s="4" customFormat="1">
      <c r="A79" s="6"/>
    </row>
    <row r="80" spans="1:1" s="4" customFormat="1">
      <c r="A80" s="6"/>
    </row>
    <row r="81" spans="1:1" s="4" customFormat="1">
      <c r="A81" s="6"/>
    </row>
    <row r="159" spans="12:12" ht="15" customHeight="1">
      <c r="L159" t="s">
        <v>74</v>
      </c>
    </row>
  </sheetData>
  <mergeCells count="13">
    <mergeCell ref="O30:S30"/>
    <mergeCell ref="B40:C40"/>
    <mergeCell ref="B41:C41"/>
    <mergeCell ref="A1:T1"/>
    <mergeCell ref="R3:T5"/>
    <mergeCell ref="R7:T10"/>
    <mergeCell ref="A12:A13"/>
    <mergeCell ref="B12:B13"/>
    <mergeCell ref="C12:T12"/>
    <mergeCell ref="E13:G13"/>
    <mergeCell ref="H13:J13"/>
    <mergeCell ref="K13:M13"/>
    <mergeCell ref="O13:Q13"/>
  </mergeCells>
  <dataValidations count="4">
    <dataValidation type="list" allowBlank="1" showInputMessage="1" showErrorMessage="1" sqref="C7:C8" xr:uid="{00000000-0002-0000-0000-000000000000}">
      <formula1>"SIM,NÃO"</formula1>
      <formula2>0</formula2>
    </dataValidation>
    <dataValidation type="decimal" allowBlank="1" showInputMessage="1" showErrorMessage="1" promptTitle="Atenção!" prompt="O coeficiente pode ser um valor decimal entre 1 e 100._x000a_Exemplo: 1,2 _x000a_Esse fator aumentará em 20% a estimativa de detalhamento de regras do projeto." sqref="C10" xr:uid="{00000000-0002-0000-0000-000001000000}">
      <formula1>1</formula1>
      <formula2>50</formula2>
    </dataValidation>
    <dataValidation type="whole" allowBlank="1" showInputMessage="1" showErrorMessage="1" promptTitle="Fases" prompt="Você poderá informar quantas fases o projeto deverá ter._x000a_Exemplo: 1, 2 ou 3 fases._x000a_O número precisa ser inteiro." sqref="C9" xr:uid="{00000000-0002-0000-0000-000002000000}">
      <formula1>1</formula1>
      <formula2>10</formula2>
    </dataValidation>
    <dataValidation type="list" allowBlank="1" showInputMessage="1" showErrorMessage="1" sqref="N3:N4" xr:uid="{00000000-0002-0000-0000-000003000000}">
      <formula1>"Presencial,Remoto"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Valor!$A$2:$A$22</xm:f>
          </x14:formula1>
          <x14:formula2>
            <xm:f>0</xm:f>
          </x14:formula2>
          <xm:sqref>C5</xm:sqref>
        </x14:dataValidation>
        <x14:dataValidation type="list" allowBlank="1" showInputMessage="1" showErrorMessage="1" xr:uid="{00000000-0002-0000-0000-000005000000}">
          <x14:formula1>
            <xm:f>Valor!$D$2:$D$4</xm:f>
          </x14:formula1>
          <x14:formula2>
            <xm:f>0</xm:f>
          </x14:formula2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306"/>
  <sheetViews>
    <sheetView zoomScale="90" zoomScaleNormal="90" workbookViewId="0">
      <pane ySplit="2" topLeftCell="A139" activePane="bottomLeft" state="frozen"/>
      <selection pane="bottomLeft" activeCell="D28" sqref="D28"/>
    </sheetView>
  </sheetViews>
  <sheetFormatPr defaultColWidth="8.7109375" defaultRowHeight="15.75"/>
  <cols>
    <col min="1" max="1" width="4" style="61" customWidth="1"/>
    <col min="2" max="2" width="13.42578125" style="62" customWidth="1"/>
    <col min="3" max="3" width="36.28515625" style="63" customWidth="1"/>
    <col min="4" max="4" width="19.28515625" style="64" customWidth="1"/>
    <col min="5" max="5" width="70.7109375" style="65" customWidth="1"/>
    <col min="6" max="6" width="33.7109375" style="61" customWidth="1"/>
    <col min="7" max="7" width="21.7109375" style="66" customWidth="1"/>
    <col min="8" max="8" width="20.85546875" style="61" customWidth="1"/>
    <col min="9" max="9" width="21.7109375" style="67" customWidth="1"/>
    <col min="10" max="10" width="60.7109375" style="66" customWidth="1"/>
    <col min="11" max="11" width="43.28515625" style="67" customWidth="1"/>
    <col min="12" max="12" width="23.140625" style="61" customWidth="1"/>
    <col min="13" max="13" width="19.140625" style="61" customWidth="1"/>
    <col min="14" max="14" width="24.7109375" style="68" customWidth="1"/>
    <col min="15" max="15" width="32.5703125" style="68" customWidth="1"/>
    <col min="16" max="16" width="26" style="68" customWidth="1"/>
    <col min="17" max="17" width="29.42578125" style="61" customWidth="1"/>
    <col min="18" max="18" width="27.28515625" style="61" customWidth="1"/>
    <col min="19" max="19" width="44.7109375" style="61" customWidth="1"/>
    <col min="20" max="20" width="17.42578125" style="61" customWidth="1"/>
    <col min="21" max="21" width="16.28515625" style="61" customWidth="1"/>
    <col min="22" max="22" width="20.7109375" style="61" customWidth="1"/>
    <col min="23" max="23" width="8.7109375" style="61"/>
    <col min="24" max="24" width="9.42578125" style="61" customWidth="1"/>
    <col min="25" max="25" width="10.28515625" style="61" customWidth="1"/>
    <col min="26" max="16384" width="8.7109375" style="61"/>
  </cols>
  <sheetData>
    <row r="1" spans="1:25" ht="64.5" customHeight="1">
      <c r="A1" s="572" t="s">
        <v>75</v>
      </c>
      <c r="B1" s="572"/>
      <c r="C1" s="572"/>
      <c r="D1" s="572"/>
      <c r="E1" s="572"/>
      <c r="F1" s="69">
        <f>SUM(G2+H2+I2)</f>
        <v>99</v>
      </c>
      <c r="G1" s="70" t="s">
        <v>76</v>
      </c>
      <c r="H1" s="71" t="s">
        <v>77</v>
      </c>
      <c r="I1" s="72" t="s">
        <v>78</v>
      </c>
      <c r="J1" s="73" t="s">
        <v>79</v>
      </c>
      <c r="K1" s="74" t="s">
        <v>80</v>
      </c>
      <c r="L1" s="70" t="s">
        <v>81</v>
      </c>
      <c r="M1" s="70" t="s">
        <v>82</v>
      </c>
      <c r="N1" s="70" t="s">
        <v>38</v>
      </c>
      <c r="O1" s="70" t="s">
        <v>83</v>
      </c>
      <c r="P1" s="70" t="s">
        <v>84</v>
      </c>
      <c r="Q1" s="70" t="s">
        <v>85</v>
      </c>
      <c r="R1" s="70" t="s">
        <v>86</v>
      </c>
      <c r="S1" s="75" t="s">
        <v>87</v>
      </c>
      <c r="T1" s="76"/>
      <c r="U1" s="76"/>
    </row>
    <row r="2" spans="1:25" ht="46.5" customHeight="1">
      <c r="A2" s="77"/>
      <c r="B2" s="78" t="s">
        <v>88</v>
      </c>
      <c r="C2" s="77" t="s">
        <v>89</v>
      </c>
      <c r="D2" s="77" t="s">
        <v>90</v>
      </c>
      <c r="E2" s="77" t="s">
        <v>91</v>
      </c>
      <c r="F2" s="77" t="s">
        <v>92</v>
      </c>
      <c r="G2" s="69">
        <f>SUM(G3+G100+G126+G142+G193+G216+G222+G231+G239+G248)</f>
        <v>78</v>
      </c>
      <c r="H2" s="69">
        <f>("01:00:00" + (IF(Resumo!$C$5 = "ALIARE - AGB","05:00:00","00:00:00")) + (IF(Resumo!$C$7 = "SIM","04:00:00","00:00:00")))*24</f>
        <v>1</v>
      </c>
      <c r="I2" s="79">
        <f>SUM(I3,I100,I126,I142,I193,I216,I222,I231,I239,I248,I264,I274)</f>
        <v>20</v>
      </c>
      <c r="J2" s="80"/>
      <c r="K2" s="81"/>
      <c r="L2" s="79">
        <f>(L3+L100+L126+L142+L193+L216+L222+L231+L239+L248)</f>
        <v>17.268899999999999</v>
      </c>
      <c r="M2" s="79">
        <f>SUM(M3,M100,M142,M193,M216,M222,M231,M239,M248)</f>
        <v>9.9659999999999993</v>
      </c>
      <c r="N2" s="79">
        <f>SUM(N3,N100,N126,N142,N193,N216,N222,N231,N239,N248)</f>
        <v>17.268899999999999</v>
      </c>
      <c r="O2" s="79">
        <f>SUM(O3,O100,O126,O142,O193,O216,O222,O231,O239,O248)</f>
        <v>19.503599999999999</v>
      </c>
      <c r="P2" s="79">
        <f>SUM(P3,P100,P126,P142,P193,P216,P222,P231,P239,P248)</f>
        <v>5.7065999999999999</v>
      </c>
      <c r="Q2" s="79">
        <f>SUM(Q3,Q100,Q126,Q142,Q193,Q216,Q222,Q231,Q239,Q248)</f>
        <v>6.9636000000000005</v>
      </c>
      <c r="R2" s="79">
        <f>SUM(R3,R100,R126,R142,R193,R216,R222,R231,R239)</f>
        <v>0</v>
      </c>
      <c r="S2" s="79">
        <f>SUM(S3,S100,S126,S142,S193,S216,S222,S231,S239,S248)</f>
        <v>0</v>
      </c>
      <c r="T2" s="82"/>
      <c r="U2" s="76"/>
    </row>
    <row r="3" spans="1:25" ht="29.25" customHeight="1">
      <c r="A3" s="83"/>
      <c r="B3" s="549" t="s">
        <v>48</v>
      </c>
      <c r="C3" s="549"/>
      <c r="D3" s="549"/>
      <c r="E3" s="549"/>
      <c r="F3" s="549"/>
      <c r="G3" s="84">
        <f>ROUNDUP(IF($A$4="x", SUMIF($D$4:$D$99,"x",$G$4:$G$99) * 24, 0),0)</f>
        <v>33</v>
      </c>
      <c r="H3" s="85"/>
      <c r="I3" s="86">
        <f>ROUNDUP(IF($A$4="x",SUMIF($D$4:$D$99,"x",$I$4:$I$99)*24,0),0)</f>
        <v>6</v>
      </c>
      <c r="J3" s="87"/>
      <c r="K3" s="87"/>
      <c r="L3" s="88">
        <f>G3*0.1603 + IF(Resumo!C7 = "SIM",(G3*0.1603)*0.3,0)</f>
        <v>5.2899000000000003</v>
      </c>
      <c r="M3" s="88">
        <f>$G$3*0.1603</f>
        <v>5.2899000000000003</v>
      </c>
      <c r="N3" s="88">
        <f>$G$3*0.1603 + IF(Resumo!$C$7="SIM", $G$3*0.1603*0.3, 0)</f>
        <v>5.2899000000000003</v>
      </c>
      <c r="O3" s="88">
        <f>$G$3*0.3187</f>
        <v>10.517099999999999</v>
      </c>
      <c r="P3" s="88">
        <f>$G$3*0.0802 + IF(Resumo!$C$7 = "SIM",($G$3*0.0802*0.3),0)</f>
        <v>2.6465999999999998</v>
      </c>
      <c r="Q3" s="88">
        <f>($G$3*0.1202)*Resumo!P9</f>
        <v>3.9666000000000001</v>
      </c>
      <c r="R3" s="88">
        <f>$G$3*0</f>
        <v>0</v>
      </c>
      <c r="S3" s="88">
        <v>0</v>
      </c>
      <c r="T3" s="76"/>
      <c r="U3" s="76"/>
      <c r="V3" s="89"/>
      <c r="W3" s="89"/>
      <c r="X3" s="89"/>
      <c r="Y3" s="90"/>
    </row>
    <row r="4" spans="1:25" ht="15" customHeight="1">
      <c r="A4" s="573" t="str">
        <f>IF(Resumo!A15="x",Resumo!A15,"")</f>
        <v>x</v>
      </c>
      <c r="B4" s="565"/>
      <c r="C4" s="565" t="s">
        <v>93</v>
      </c>
      <c r="D4" s="91" t="s">
        <v>47</v>
      </c>
      <c r="E4" s="92" t="s">
        <v>94</v>
      </c>
      <c r="F4" s="93" t="s">
        <v>95</v>
      </c>
      <c r="G4" s="94">
        <v>4.1666666666666699E-2</v>
      </c>
      <c r="H4" s="76"/>
      <c r="I4" s="95"/>
      <c r="J4" s="94" t="str">
        <f>IF(OR(Resumo!$C$5="ALIARE - AGB", Resumo!$C$5="SIMER",Resumo!$C$5="ALIARE - SOLUTION"), _xlfn.CONCAT('Aliare Integra Solution'!$A$15," + ",'Aliare Integra Solution'!$A$18), _xlfn.CONCAT('Aliare Integra ERP Terceiro'!$A$15,"+",'Aliare Integra ERP Terceiro'!$A$18))</f>
        <v>Cadastro básico – Empresa + Cadastro básico - Filial</v>
      </c>
      <c r="K4" s="91" t="str">
        <f>IF(Resumo!$C$5="ALIARE - SOLUTION", _xlfn.CONCAT('Aliare Integra Solution'!$B$15,"+",'Aliare Integra Solution'!$B$18), _xlfn.CONCAT('Aliare Integra ERP Terceiro'!$B$15,"+",'Aliare Integra ERP Terceiro'!$B$18))</f>
        <v>1.14 Empresa+1.15 Filial</v>
      </c>
      <c r="L4" s="93"/>
      <c r="M4" s="93"/>
      <c r="N4" s="93"/>
      <c r="O4" s="93"/>
      <c r="P4" s="93"/>
      <c r="Q4" s="96"/>
      <c r="R4" s="96"/>
      <c r="S4" s="96"/>
      <c r="T4" s="76"/>
      <c r="U4" s="76"/>
    </row>
    <row r="5" spans="1:25">
      <c r="A5" s="573"/>
      <c r="B5" s="565"/>
      <c r="C5" s="565"/>
      <c r="D5" s="91" t="s">
        <v>47</v>
      </c>
      <c r="E5" s="97" t="s">
        <v>96</v>
      </c>
      <c r="F5" s="98" t="s">
        <v>95</v>
      </c>
      <c r="G5" s="94">
        <v>1.38888888888889E-2</v>
      </c>
      <c r="H5" s="76"/>
      <c r="I5" s="2"/>
      <c r="J5" s="99"/>
      <c r="K5" s="1"/>
      <c r="L5" s="98"/>
      <c r="M5" s="98"/>
      <c r="N5" s="98"/>
      <c r="O5" s="98"/>
      <c r="P5" s="98"/>
      <c r="Q5" s="96"/>
      <c r="R5" s="96"/>
      <c r="S5" s="96"/>
      <c r="T5" s="76"/>
      <c r="U5" s="76"/>
    </row>
    <row r="6" spans="1:25">
      <c r="A6" s="573"/>
      <c r="B6" s="565"/>
      <c r="C6" s="565"/>
      <c r="D6" s="91" t="s">
        <v>47</v>
      </c>
      <c r="E6" s="97" t="s">
        <v>97</v>
      </c>
      <c r="F6" s="98" t="s">
        <v>95</v>
      </c>
      <c r="G6" s="94">
        <v>2.0833333333333301E-2</v>
      </c>
      <c r="H6" s="76"/>
      <c r="I6" s="562"/>
      <c r="J6" s="563" t="str">
        <f>IF(OR(Resumo!$C$5="ALIARE - AGB", Resumo!$C$5="SIMER",Resumo!$C$5="ALIARE - SOLUTION"), 'Aliare Integra Solution'!$A$6,'Aliare Integra ERP Terceiro'!$A$6)</f>
        <v>Cadastro básico - País, Estado e Cidade</v>
      </c>
      <c r="K6" s="1" t="str">
        <f>IF(Resumo!$C$5="ALIARE - SOLUTION", 'Aliare Integra Solution'!$B$6, 'Aliare Integra ERP Terceiro'!$B$6)</f>
        <v>1.01 País</v>
      </c>
      <c r="L6" s="98"/>
      <c r="M6" s="98"/>
      <c r="N6" s="98"/>
      <c r="O6" s="98"/>
      <c r="P6" s="98"/>
      <c r="Q6" s="96"/>
      <c r="R6" s="96"/>
      <c r="S6" s="96"/>
      <c r="T6" s="76"/>
      <c r="U6" s="76"/>
    </row>
    <row r="7" spans="1:25">
      <c r="A7" s="573"/>
      <c r="B7" s="565"/>
      <c r="C7" s="565"/>
      <c r="D7" s="91" t="s">
        <v>47</v>
      </c>
      <c r="E7" s="97" t="s">
        <v>98</v>
      </c>
      <c r="F7" s="98" t="s">
        <v>95</v>
      </c>
      <c r="G7" s="94">
        <v>6.9444444444444397E-3</v>
      </c>
      <c r="H7" s="76"/>
      <c r="I7" s="562"/>
      <c r="J7" s="563"/>
      <c r="K7" s="1" t="str">
        <f>IF(Resumo!$C$5="ALIARE - SOLUTION", 'Aliare Integra Solution'!$B$7, 'Aliare Integra ERP Terceiro'!$B$7)</f>
        <v>1.02 Unidade Federativa</v>
      </c>
      <c r="L7" s="98"/>
      <c r="M7" s="98"/>
      <c r="N7" s="98"/>
      <c r="O7" s="98"/>
      <c r="P7" s="98"/>
      <c r="Q7" s="96"/>
      <c r="R7" s="96"/>
      <c r="S7" s="96"/>
      <c r="T7" s="76"/>
      <c r="U7" s="76"/>
    </row>
    <row r="8" spans="1:25">
      <c r="A8" s="573"/>
      <c r="B8" s="565"/>
      <c r="C8" s="565"/>
      <c r="D8" s="91" t="s">
        <v>47</v>
      </c>
      <c r="E8" s="97" t="s">
        <v>99</v>
      </c>
      <c r="F8" s="98" t="s">
        <v>95</v>
      </c>
      <c r="G8" s="94">
        <v>6.9444444444444397E-3</v>
      </c>
      <c r="H8" s="76"/>
      <c r="I8" s="562"/>
      <c r="J8" s="563"/>
      <c r="K8" s="1" t="str">
        <f>IF(Resumo!$C$5="ALIARE - SOLUTION", 'Aliare Integra Solution'!$B$8, 'Aliare Integra ERP Terceiro'!$B$8)</f>
        <v>1.03 Cidade</v>
      </c>
      <c r="L8" s="98"/>
      <c r="M8" s="98"/>
      <c r="N8" s="98"/>
      <c r="O8" s="98"/>
      <c r="P8" s="98"/>
      <c r="Q8" s="96"/>
      <c r="R8" s="96"/>
      <c r="S8" s="96"/>
      <c r="T8" s="76"/>
      <c r="U8" s="76"/>
    </row>
    <row r="9" spans="1:25">
      <c r="A9" s="573"/>
      <c r="B9" s="565"/>
      <c r="C9" s="565"/>
      <c r="D9" s="91" t="s">
        <v>47</v>
      </c>
      <c r="E9" s="100" t="s">
        <v>100</v>
      </c>
      <c r="F9" s="98" t="s">
        <v>101</v>
      </c>
      <c r="G9" s="94">
        <v>2.0833333333333301E-2</v>
      </c>
      <c r="H9" s="76"/>
      <c r="I9" s="2"/>
      <c r="J9" s="99" t="str">
        <f>IF(OR(Resumo!$C$5="ALIARE - AGB", Resumo!$C$5="SIMER",Resumo!$C$5="ALIARE - SOLUTION"), 'Aliare Integra Solution'!$A$9,'Aliare Integra ERP Terceiro'!$A$9)</f>
        <v>Cadastro básico - Unidade de medida</v>
      </c>
      <c r="K9" s="1" t="str">
        <f>IF(Resumo!$C$5="ALIARE - SOLUTION", 'Aliare Integra Solution'!$B$9, 'Aliare Integra ERP Terceiro'!$B$9)</f>
        <v>1.04 Unidade de Medida</v>
      </c>
      <c r="L9" s="98"/>
      <c r="M9" s="98"/>
      <c r="N9" s="98"/>
      <c r="O9" s="98"/>
      <c r="P9" s="98"/>
      <c r="Q9" s="96"/>
      <c r="R9" s="96"/>
      <c r="S9" s="96"/>
      <c r="T9" s="76"/>
      <c r="U9" s="76"/>
    </row>
    <row r="10" spans="1:25">
      <c r="A10" s="573"/>
      <c r="B10" s="565"/>
      <c r="C10" s="565"/>
      <c r="D10" s="91" t="s">
        <v>47</v>
      </c>
      <c r="E10" s="101" t="s">
        <v>102</v>
      </c>
      <c r="F10" s="98" t="s">
        <v>101</v>
      </c>
      <c r="G10" s="94">
        <v>3.125E-2</v>
      </c>
      <c r="H10" s="76"/>
      <c r="I10" s="562"/>
      <c r="J10" s="99" t="str">
        <f>IF(OR(Resumo!$C$5="ALIARE - AGB", Resumo!$C$5="SIMER",Resumo!$C$5="ALIARE - SOLUTION"), 'Aliare Integra Solution'!$A$33,'Aliare Integra ERP Terceiro'!$A$33)</f>
        <v>Cadastro básico - Safra</v>
      </c>
      <c r="K10" s="1" t="str">
        <f>IF(Resumo!$C$5="ALIARE - SOLUTION", 'Aliare Integra Solution'!$B$33, 'Aliare Integra ERP Terceiro'!$B$33)</f>
        <v xml:space="preserve"> 1.13 Safra</v>
      </c>
      <c r="L10" s="98"/>
      <c r="M10" s="98"/>
      <c r="N10" s="98"/>
      <c r="O10" s="98"/>
      <c r="P10" s="98"/>
      <c r="Q10" s="96"/>
      <c r="R10" s="96"/>
      <c r="S10" s="96"/>
      <c r="T10" s="76"/>
      <c r="U10" s="76"/>
    </row>
    <row r="11" spans="1:25">
      <c r="A11" s="573"/>
      <c r="B11" s="565"/>
      <c r="C11" s="565"/>
      <c r="D11" s="91" t="s">
        <v>47</v>
      </c>
      <c r="E11" s="102" t="s">
        <v>103</v>
      </c>
      <c r="F11" s="98" t="s">
        <v>101</v>
      </c>
      <c r="G11" s="94"/>
      <c r="H11" s="76"/>
      <c r="I11" s="562"/>
      <c r="J11" s="99" t="str">
        <f>IF(OR(Resumo!$C$5="ALIARE - AGB", Resumo!$C$5="SIMER",Resumo!$C$5="ALIARE - SOLUTION"), 'Aliare Integra Solution'!$A$32,'Aliare Integra ERP Terceiro'!$A$32)</f>
        <v>Cadastro básico - Cultura</v>
      </c>
      <c r="K11" s="1" t="str">
        <f>IF(Resumo!$C$5="ALIARE - SOLUTION", 'Aliare Integra Solution'!$B$32, 'Aliare Integra ERP Terceiro'!$B$32)</f>
        <v>1.12 Cultura</v>
      </c>
      <c r="L11" s="98"/>
      <c r="M11" s="98"/>
      <c r="N11" s="98"/>
      <c r="O11" s="98"/>
      <c r="P11" s="98"/>
      <c r="Q11" s="96"/>
      <c r="R11" s="96"/>
      <c r="S11" s="96"/>
      <c r="T11" s="76"/>
      <c r="U11" s="76"/>
    </row>
    <row r="12" spans="1:25">
      <c r="A12" s="573"/>
      <c r="B12" s="565"/>
      <c r="C12" s="565"/>
      <c r="D12" s="91"/>
      <c r="E12" s="103" t="s">
        <v>104</v>
      </c>
      <c r="F12" s="98" t="s">
        <v>101</v>
      </c>
      <c r="G12" s="94">
        <v>3.125E-2</v>
      </c>
      <c r="H12" s="76"/>
      <c r="I12" s="2"/>
      <c r="J12" s="99"/>
      <c r="K12" s="1"/>
      <c r="L12" s="98"/>
      <c r="M12" s="98"/>
      <c r="N12" s="98"/>
      <c r="O12" s="98"/>
      <c r="P12" s="98"/>
      <c r="Q12" s="96"/>
      <c r="R12" s="96"/>
      <c r="S12" s="96"/>
      <c r="T12" s="76"/>
      <c r="U12" s="76"/>
    </row>
    <row r="13" spans="1:25">
      <c r="A13" s="573"/>
      <c r="B13" s="565"/>
      <c r="C13" s="565"/>
      <c r="D13" s="91"/>
      <c r="E13" s="103" t="s">
        <v>105</v>
      </c>
      <c r="F13" s="98" t="s">
        <v>101</v>
      </c>
      <c r="G13" s="94">
        <v>3.125E-2</v>
      </c>
      <c r="H13" s="76"/>
      <c r="I13" s="2"/>
      <c r="J13" s="99"/>
      <c r="K13" s="1"/>
      <c r="L13" s="98"/>
      <c r="M13" s="98"/>
      <c r="N13" s="98"/>
      <c r="O13" s="98"/>
      <c r="P13" s="98"/>
      <c r="Q13" s="96"/>
      <c r="R13" s="96"/>
      <c r="S13" s="96"/>
      <c r="T13" s="76"/>
      <c r="U13" s="76"/>
    </row>
    <row r="14" spans="1:25">
      <c r="A14" s="573"/>
      <c r="B14" s="565"/>
      <c r="C14" s="565"/>
      <c r="D14" s="91" t="s">
        <v>47</v>
      </c>
      <c r="E14" s="103" t="s">
        <v>106</v>
      </c>
      <c r="F14" s="98" t="s">
        <v>95</v>
      </c>
      <c r="G14" s="94">
        <v>3.125E-2</v>
      </c>
      <c r="H14" s="76"/>
      <c r="I14" s="2"/>
      <c r="J14" s="99" t="str">
        <f>IF(OR(Resumo!$C$5="ALIARE - AGB", Resumo!$C$5="SIMER",Resumo!$C$5="ALIARE - SOLUTION"), _xlfn.CONCAT('Aliare Integra Solution'!$A$34,"+", 'Aliare Integra Solution'!$A$35), _xlfn.CONCAT('Aliare Integra ERP Terceiro'!$A$34,"+",'Aliare Integra ERP Terceiro'!$A$35))</f>
        <v>Cadastro básico - Região+Cadastro básico - Região local</v>
      </c>
      <c r="K14" s="1" t="str">
        <f>IF(Resumo!$C$5="ALIARE - SOLUTION", _xlfn.CONCAT('Aliare Integra Solution'!$B$34,"+", 'Aliare Integra Solution'!$B$35), _xlfn.CONCAT('Aliare Integra ERP Terceiro'!$B$34,"+",'Aliare Integra ERP Terceiro'!$B$35))</f>
        <v>1.19 Região+1.20 Região Local</v>
      </c>
      <c r="L14" s="98"/>
      <c r="M14" s="98"/>
      <c r="N14" s="98"/>
      <c r="O14" s="98"/>
      <c r="P14" s="98"/>
      <c r="Q14" s="96"/>
      <c r="R14" s="96"/>
      <c r="S14" s="96"/>
      <c r="T14" s="76"/>
      <c r="U14" s="76"/>
    </row>
    <row r="15" spans="1:25" ht="15.75" customHeight="1">
      <c r="A15" s="573"/>
      <c r="B15" s="565"/>
      <c r="C15" s="564" t="s">
        <v>107</v>
      </c>
      <c r="D15" s="91" t="s">
        <v>47</v>
      </c>
      <c r="E15" s="100" t="s">
        <v>108</v>
      </c>
      <c r="F15" s="98" t="s">
        <v>95</v>
      </c>
      <c r="G15" s="94">
        <v>6.25E-2</v>
      </c>
      <c r="H15" s="76"/>
      <c r="I15" s="2"/>
      <c r="J15" s="99" t="str">
        <f>IF(OR(Resumo!$C$5="ALIARE - AGB", Resumo!$C$5="SIMER",Resumo!$C$5="ALIARE - SOLUTION"), 'Aliare Integra Solution'!$A$37,'Aliare Integra ERP Terceiro'!$A$37)</f>
        <v>Cadastro básico - Propriedade</v>
      </c>
      <c r="K15" s="1" t="str">
        <f>IF(Resumo!$C$5="ALIARE - SOLUTION", 'Aliare Integra Solution'!$B$37, 'Aliare Integra ERP Terceiro'!$B$37)</f>
        <v>1.22 Propriedade</v>
      </c>
      <c r="L15" s="99"/>
      <c r="M15" s="104"/>
      <c r="N15" s="96"/>
      <c r="O15" s="96"/>
      <c r="P15" s="96"/>
      <c r="Q15" s="96"/>
      <c r="R15" s="96"/>
      <c r="S15" s="96"/>
      <c r="T15" s="76"/>
      <c r="U15" s="76"/>
    </row>
    <row r="16" spans="1:25" s="65" customFormat="1" ht="47.25" customHeight="1">
      <c r="A16" s="573"/>
      <c r="B16" s="565"/>
      <c r="C16" s="564"/>
      <c r="D16" s="91" t="s">
        <v>47</v>
      </c>
      <c r="E16" s="100" t="s">
        <v>109</v>
      </c>
      <c r="F16" s="105" t="s">
        <v>95</v>
      </c>
      <c r="G16" s="106">
        <v>3.125E-2</v>
      </c>
      <c r="H16" s="107"/>
      <c r="I16" s="2"/>
      <c r="J16" s="1" t="str">
        <f>IF(OR(Resumo!$C$5="ALIARE - AGB", Resumo!$C$5="SIMER",Resumo!$C$5="ALIARE - SOLUTION"), _xlfn.CONCAT('Aliare Integra Solution'!$A$10,'Aliare Integra Solution'!$A$19,'Aliare Integra Solution'!$A$81), _xlfn.CONCAT('Aliare Integra ERP Terceiro'!$A$10,'Aliare Integra ERP Terceiro'!$A$19,'Aliare Integra ERP Terceiro'!$A$83))</f>
        <v>Cadastro básico - Parceiro - Parte 1Cadastro básico - Pessoa física e jurídica - Fluxo 1Cadastro básico - Pessoa física complementar</v>
      </c>
      <c r="K16" s="1" t="str">
        <f>IF(Resumo!$C$5="ALIARE - SOLUTION", 'Aliare Integra Solution'!$B$19, 'Aliare Integra ERP Terceiro'!$B$19)</f>
        <v>1.16 Pessoa Física e 1.17 Pessoa Jurídica</v>
      </c>
      <c r="L16" s="1"/>
      <c r="M16" s="96"/>
      <c r="N16" s="96"/>
      <c r="O16" s="96"/>
      <c r="P16" s="96"/>
      <c r="Q16" s="96"/>
      <c r="R16" s="96"/>
      <c r="S16" s="96"/>
      <c r="T16" s="107"/>
      <c r="U16" s="107"/>
    </row>
    <row r="17" spans="1:21">
      <c r="A17" s="573"/>
      <c r="B17" s="565"/>
      <c r="C17" s="564"/>
      <c r="D17" s="91"/>
      <c r="E17" s="97" t="s">
        <v>110</v>
      </c>
      <c r="F17" s="98" t="s">
        <v>101</v>
      </c>
      <c r="G17" s="94">
        <v>3.125E-2</v>
      </c>
      <c r="H17" s="76"/>
      <c r="I17" s="2"/>
      <c r="J17" s="99"/>
      <c r="K17" s="1"/>
      <c r="L17" s="99"/>
      <c r="M17" s="104"/>
      <c r="N17" s="96"/>
      <c r="O17" s="96"/>
      <c r="P17" s="96"/>
      <c r="Q17" s="96"/>
      <c r="R17" s="96"/>
      <c r="S17" s="96"/>
      <c r="T17" s="76"/>
      <c r="U17" s="76"/>
    </row>
    <row r="18" spans="1:21">
      <c r="A18" s="573"/>
      <c r="B18" s="565"/>
      <c r="C18" s="564"/>
      <c r="D18" s="91"/>
      <c r="E18" s="97" t="s">
        <v>111</v>
      </c>
      <c r="F18" s="98" t="s">
        <v>101</v>
      </c>
      <c r="G18" s="94">
        <v>3.125E-2</v>
      </c>
      <c r="H18" s="76"/>
      <c r="I18" s="2"/>
      <c r="J18" s="99"/>
      <c r="K18" s="1"/>
      <c r="L18" s="99"/>
      <c r="M18" s="104"/>
      <c r="N18" s="96"/>
      <c r="O18" s="96"/>
      <c r="P18" s="96"/>
      <c r="Q18" s="96"/>
      <c r="R18" s="96"/>
      <c r="S18" s="96"/>
      <c r="T18" s="76"/>
      <c r="U18" s="76"/>
    </row>
    <row r="19" spans="1:21">
      <c r="A19" s="573"/>
      <c r="B19" s="565"/>
      <c r="C19" s="564"/>
      <c r="D19" s="91" t="s">
        <v>47</v>
      </c>
      <c r="E19" s="97" t="s">
        <v>112</v>
      </c>
      <c r="F19" s="98" t="s">
        <v>101</v>
      </c>
      <c r="G19" s="94">
        <v>3.125E-2</v>
      </c>
      <c r="H19" s="76"/>
      <c r="I19" s="2"/>
      <c r="J19" s="99"/>
      <c r="K19" s="1"/>
      <c r="L19" s="99"/>
      <c r="M19" s="104"/>
      <c r="N19" s="96"/>
      <c r="O19" s="96"/>
      <c r="P19" s="96"/>
      <c r="Q19" s="96"/>
      <c r="R19" s="96"/>
      <c r="S19" s="96"/>
      <c r="T19" s="76"/>
      <c r="U19" s="76"/>
    </row>
    <row r="20" spans="1:21">
      <c r="A20" s="573"/>
      <c r="B20" s="565"/>
      <c r="C20" s="564"/>
      <c r="D20" s="91"/>
      <c r="E20" s="97" t="s">
        <v>113</v>
      </c>
      <c r="F20" s="98" t="s">
        <v>101</v>
      </c>
      <c r="G20" s="94">
        <v>3.125E-2</v>
      </c>
      <c r="H20" s="76"/>
      <c r="I20" s="2"/>
      <c r="J20" s="99"/>
      <c r="K20" s="1"/>
      <c r="L20" s="99"/>
      <c r="M20" s="104"/>
      <c r="N20" s="96"/>
      <c r="O20" s="96"/>
      <c r="P20" s="96"/>
      <c r="Q20" s="96"/>
      <c r="R20" s="96"/>
      <c r="S20" s="96"/>
      <c r="T20" s="76"/>
      <c r="U20" s="76"/>
    </row>
    <row r="21" spans="1:21">
      <c r="A21" s="573"/>
      <c r="B21" s="565"/>
      <c r="C21" s="564"/>
      <c r="D21" s="91"/>
      <c r="E21" s="97" t="s">
        <v>114</v>
      </c>
      <c r="F21" s="98" t="s">
        <v>101</v>
      </c>
      <c r="G21" s="94">
        <v>3.125E-2</v>
      </c>
      <c r="H21" s="76"/>
      <c r="I21" s="2"/>
      <c r="J21" s="99"/>
      <c r="K21" s="1"/>
      <c r="L21" s="99"/>
      <c r="M21" s="104"/>
      <c r="N21" s="96"/>
      <c r="O21" s="96"/>
      <c r="P21" s="96"/>
      <c r="Q21" s="96"/>
      <c r="R21" s="96"/>
      <c r="S21" s="96"/>
      <c r="T21" s="76"/>
      <c r="U21" s="76"/>
    </row>
    <row r="22" spans="1:21">
      <c r="A22" s="573"/>
      <c r="B22" s="565"/>
      <c r="C22" s="564"/>
      <c r="D22" s="91"/>
      <c r="E22" s="97" t="s">
        <v>115</v>
      </c>
      <c r="F22" s="98" t="s">
        <v>101</v>
      </c>
      <c r="G22" s="94">
        <v>3.125E-2</v>
      </c>
      <c r="H22" s="76"/>
      <c r="I22" s="2"/>
      <c r="J22" s="99"/>
      <c r="K22" s="1"/>
      <c r="L22" s="99"/>
      <c r="M22" s="104"/>
      <c r="N22" s="96"/>
      <c r="O22" s="96"/>
      <c r="P22" s="96"/>
      <c r="Q22" s="96"/>
      <c r="R22" s="96"/>
      <c r="S22" s="96"/>
      <c r="T22" s="76"/>
      <c r="U22" s="76"/>
    </row>
    <row r="23" spans="1:21">
      <c r="A23" s="573"/>
      <c r="B23" s="565"/>
      <c r="C23" s="564"/>
      <c r="D23" s="91" t="s">
        <v>47</v>
      </c>
      <c r="E23" s="97" t="s">
        <v>116</v>
      </c>
      <c r="F23" s="98" t="s">
        <v>95</v>
      </c>
      <c r="G23" s="94">
        <v>3.125E-2</v>
      </c>
      <c r="H23" s="76"/>
      <c r="I23" s="2"/>
      <c r="J23" s="99"/>
      <c r="K23" s="1"/>
      <c r="L23" s="99"/>
      <c r="M23" s="104"/>
      <c r="N23" s="96"/>
      <c r="O23" s="96"/>
      <c r="P23" s="96"/>
      <c r="Q23" s="96"/>
      <c r="R23" s="96"/>
      <c r="S23" s="96"/>
      <c r="T23" s="76"/>
      <c r="U23" s="76"/>
    </row>
    <row r="24" spans="1:21">
      <c r="A24" s="573"/>
      <c r="B24" s="565"/>
      <c r="C24" s="564"/>
      <c r="D24" s="91" t="s">
        <v>47</v>
      </c>
      <c r="E24" s="97" t="s">
        <v>117</v>
      </c>
      <c r="F24" s="98" t="s">
        <v>101</v>
      </c>
      <c r="G24" s="94">
        <v>3.125E-2</v>
      </c>
      <c r="H24" s="76"/>
      <c r="I24" s="2"/>
      <c r="J24" s="99"/>
      <c r="K24" s="1"/>
      <c r="L24" s="99"/>
      <c r="M24" s="104"/>
      <c r="N24" s="96"/>
      <c r="O24" s="96"/>
      <c r="P24" s="96"/>
      <c r="Q24" s="96"/>
      <c r="R24" s="96"/>
      <c r="S24" s="96"/>
      <c r="T24" s="76"/>
      <c r="U24" s="76"/>
    </row>
    <row r="25" spans="1:21">
      <c r="A25" s="573"/>
      <c r="B25" s="565"/>
      <c r="C25" s="564"/>
      <c r="D25" s="91"/>
      <c r="E25" s="97" t="s">
        <v>118</v>
      </c>
      <c r="F25" s="98" t="s">
        <v>101</v>
      </c>
      <c r="G25" s="94">
        <v>4.1666666666666699E-2</v>
      </c>
      <c r="H25" s="76"/>
      <c r="I25" s="2"/>
      <c r="J25" s="99"/>
      <c r="K25" s="1"/>
      <c r="L25" s="99"/>
      <c r="M25" s="104"/>
      <c r="N25" s="96"/>
      <c r="O25" s="96"/>
      <c r="P25" s="96"/>
      <c r="Q25" s="96"/>
      <c r="R25" s="96"/>
      <c r="S25" s="96"/>
      <c r="T25" s="76"/>
      <c r="U25" s="76"/>
    </row>
    <row r="26" spans="1:21">
      <c r="A26" s="573"/>
      <c r="B26" s="565"/>
      <c r="C26" s="564"/>
      <c r="D26" s="91" t="s">
        <v>47</v>
      </c>
      <c r="E26" s="103" t="s">
        <v>119</v>
      </c>
      <c r="F26" s="98" t="s">
        <v>101</v>
      </c>
      <c r="G26" s="94">
        <v>1.7361111111111101E-2</v>
      </c>
      <c r="H26" s="76"/>
      <c r="I26" s="2"/>
      <c r="J26" s="99"/>
      <c r="K26" s="1"/>
      <c r="L26" s="99"/>
      <c r="M26" s="104"/>
      <c r="N26" s="96"/>
      <c r="O26" s="96"/>
      <c r="P26" s="96"/>
      <c r="Q26" s="96"/>
      <c r="R26" s="96"/>
      <c r="S26" s="96"/>
      <c r="T26" s="76"/>
      <c r="U26" s="76"/>
    </row>
    <row r="27" spans="1:21" ht="47.25" customHeight="1">
      <c r="A27" s="573"/>
      <c r="B27" s="565"/>
      <c r="C27" s="564"/>
      <c r="D27" s="91" t="s">
        <v>47</v>
      </c>
      <c r="E27" s="100" t="s">
        <v>120</v>
      </c>
      <c r="F27" s="98" t="s">
        <v>95</v>
      </c>
      <c r="G27" s="94">
        <v>3.125E-2</v>
      </c>
      <c r="H27" s="76"/>
      <c r="I27" s="2">
        <f>IF(Resumo!$C$5="ALIARE - SOLUTION", 'Aliare Integra Solution'!$AC$12, 'Aliare Integra ERP Terceiro'!$AC$12)</f>
        <v>0.125</v>
      </c>
      <c r="J27" s="99" t="str">
        <f>IF(OR(Resumo!$C$5="ALIARE - AGB", Resumo!$C$5="SIMER",Resumo!$C$5="ALIARE - SOLUTION"), _xlfn.CONCAT('Aliare Integra Solution'!$A$12,'Aliare Integra Solution'!$A$13,'Aliare Integra Solution'!$A$14), _xlfn.CONCAT('Aliare Integra ERP Terceiro'!$A$12,'Aliare Integra ERP Terceiro'!$A$13,'Aliare Integra ERP Terceiro'!$A$14))</f>
        <v>Cadastro básico - Local - Entidade EmpresaCadastro básico - Local - Entidade ParceiroCadastro básico - Local - Entidade Propriedade</v>
      </c>
      <c r="K27" s="1" t="str">
        <f>IF(Resumo!$C$5="ALIARE - SOLUTION", 'Aliare Integra Solution'!$B$12, 'Aliare Integra ERP Terceiro'!$B$12)</f>
        <v>1.06 Local</v>
      </c>
      <c r="L27" s="99"/>
      <c r="M27" s="104"/>
      <c r="N27" s="96"/>
      <c r="O27" s="96"/>
      <c r="P27" s="96"/>
      <c r="Q27" s="96"/>
      <c r="R27" s="96"/>
      <c r="S27" s="96"/>
      <c r="T27" s="76"/>
      <c r="U27" s="76"/>
    </row>
    <row r="28" spans="1:21">
      <c r="A28" s="573"/>
      <c r="B28" s="565"/>
      <c r="C28" s="564"/>
      <c r="D28" s="108" t="s">
        <v>47</v>
      </c>
      <c r="E28" s="109" t="s">
        <v>121</v>
      </c>
      <c r="F28" s="110" t="s">
        <v>95</v>
      </c>
      <c r="G28" s="111">
        <v>4.1666666666666699E-2</v>
      </c>
      <c r="H28" s="76"/>
      <c r="I28" s="2"/>
      <c r="J28" s="99"/>
      <c r="K28" s="1"/>
      <c r="L28" s="99"/>
      <c r="M28" s="104"/>
      <c r="N28" s="96"/>
      <c r="O28" s="96"/>
      <c r="P28" s="96"/>
      <c r="Q28" s="96"/>
      <c r="R28" s="96"/>
      <c r="S28" s="96"/>
      <c r="T28" s="76"/>
      <c r="U28" s="76"/>
    </row>
    <row r="29" spans="1:21" ht="15" customHeight="1">
      <c r="A29" s="573"/>
      <c r="B29" s="565"/>
      <c r="C29" s="564"/>
      <c r="D29" s="91"/>
      <c r="E29" s="112" t="s">
        <v>122</v>
      </c>
      <c r="F29" s="98" t="s">
        <v>101</v>
      </c>
      <c r="G29" s="94"/>
      <c r="H29" s="76"/>
      <c r="I29" s="2"/>
      <c r="J29" s="99"/>
      <c r="K29" s="1"/>
      <c r="L29" s="99"/>
      <c r="M29" s="104"/>
      <c r="N29" s="96"/>
      <c r="O29" s="96"/>
      <c r="P29" s="96"/>
      <c r="Q29" s="96"/>
      <c r="R29" s="96"/>
      <c r="S29" s="96"/>
      <c r="T29" s="76"/>
      <c r="U29" s="76"/>
    </row>
    <row r="30" spans="1:21" ht="15.75" customHeight="1">
      <c r="A30" s="573"/>
      <c r="B30" s="565"/>
      <c r="C30" s="564" t="s">
        <v>123</v>
      </c>
      <c r="D30" s="91" t="s">
        <v>47</v>
      </c>
      <c r="E30" s="100" t="s">
        <v>124</v>
      </c>
      <c r="F30" s="98" t="s">
        <v>101</v>
      </c>
      <c r="G30" s="94">
        <v>3.125E-2</v>
      </c>
      <c r="H30" s="76"/>
      <c r="I30" s="2"/>
      <c r="J30" s="99"/>
      <c r="K30" s="1"/>
      <c r="L30" s="99"/>
      <c r="M30" s="104"/>
      <c r="N30" s="96"/>
      <c r="O30" s="96"/>
      <c r="P30" s="96"/>
      <c r="Q30" s="96"/>
      <c r="R30" s="96"/>
      <c r="S30" s="96"/>
      <c r="T30" s="76"/>
      <c r="U30" s="76"/>
    </row>
    <row r="31" spans="1:21">
      <c r="A31" s="573"/>
      <c r="B31" s="565"/>
      <c r="C31" s="565"/>
      <c r="D31" s="91" t="s">
        <v>47</v>
      </c>
      <c r="E31" s="100" t="s">
        <v>125</v>
      </c>
      <c r="F31" s="98" t="s">
        <v>95</v>
      </c>
      <c r="G31" s="94">
        <v>4.1666666666666699E-2</v>
      </c>
      <c r="H31" s="76"/>
      <c r="I31" s="2"/>
      <c r="J31" s="99"/>
      <c r="K31" s="1"/>
      <c r="L31" s="99"/>
      <c r="M31" s="104"/>
      <c r="N31" s="96"/>
      <c r="O31" s="96"/>
      <c r="P31" s="96"/>
      <c r="Q31" s="96"/>
      <c r="R31" s="96"/>
      <c r="S31" s="96"/>
      <c r="T31" s="76"/>
      <c r="U31" s="76"/>
    </row>
    <row r="32" spans="1:21">
      <c r="A32" s="573"/>
      <c r="B32" s="565"/>
      <c r="C32" s="565"/>
      <c r="D32" s="91" t="s">
        <v>47</v>
      </c>
      <c r="E32" s="100" t="s">
        <v>126</v>
      </c>
      <c r="F32" s="98" t="s">
        <v>101</v>
      </c>
      <c r="G32" s="94">
        <v>3.125E-2</v>
      </c>
      <c r="H32" s="76"/>
      <c r="I32" s="2"/>
      <c r="J32" s="99"/>
      <c r="K32" s="1"/>
      <c r="L32" s="99"/>
      <c r="M32" s="104"/>
      <c r="N32" s="96"/>
      <c r="O32" s="96"/>
      <c r="P32" s="96"/>
      <c r="Q32" s="96"/>
      <c r="R32" s="96"/>
      <c r="S32" s="96"/>
      <c r="T32" s="76"/>
      <c r="U32" s="76"/>
    </row>
    <row r="33" spans="1:21">
      <c r="A33" s="573"/>
      <c r="B33" s="565"/>
      <c r="C33" s="565"/>
      <c r="D33" s="91" t="s">
        <v>47</v>
      </c>
      <c r="E33" s="100" t="s">
        <v>123</v>
      </c>
      <c r="F33" s="98" t="s">
        <v>95</v>
      </c>
      <c r="G33" s="94">
        <v>4.1666666666666699E-2</v>
      </c>
      <c r="H33" s="76"/>
      <c r="I33" s="2"/>
      <c r="J33" s="99"/>
      <c r="K33" s="1"/>
      <c r="L33" s="99"/>
      <c r="M33" s="104"/>
      <c r="N33" s="96"/>
      <c r="O33" s="96"/>
      <c r="P33" s="96"/>
      <c r="Q33" s="96"/>
      <c r="R33" s="96"/>
      <c r="S33" s="96"/>
      <c r="T33" s="76"/>
      <c r="U33" s="76"/>
    </row>
    <row r="34" spans="1:21">
      <c r="A34" s="573"/>
      <c r="B34" s="565"/>
      <c r="C34" s="564"/>
      <c r="D34" s="91"/>
      <c r="E34" s="100" t="s">
        <v>127</v>
      </c>
      <c r="F34" s="98" t="s">
        <v>101</v>
      </c>
      <c r="G34" s="94">
        <v>3.125E-2</v>
      </c>
      <c r="H34" s="76"/>
      <c r="I34" s="2"/>
      <c r="J34" s="99"/>
      <c r="K34" s="1"/>
      <c r="L34" s="99"/>
      <c r="M34" s="104"/>
      <c r="N34" s="96"/>
      <c r="O34" s="96"/>
      <c r="P34" s="96"/>
      <c r="Q34" s="96"/>
      <c r="R34" s="96"/>
      <c r="S34" s="96"/>
      <c r="T34" s="76"/>
      <c r="U34" s="76"/>
    </row>
    <row r="35" spans="1:21" ht="15.75" customHeight="1">
      <c r="A35" s="573"/>
      <c r="B35" s="565"/>
      <c r="C35" s="564" t="s">
        <v>128</v>
      </c>
      <c r="D35" s="91" t="s">
        <v>47</v>
      </c>
      <c r="E35" s="97" t="s">
        <v>129</v>
      </c>
      <c r="F35" s="98" t="s">
        <v>101</v>
      </c>
      <c r="G35" s="94">
        <v>2.0833333333333301E-2</v>
      </c>
      <c r="H35" s="76"/>
      <c r="I35" s="2"/>
      <c r="J35" s="99"/>
      <c r="K35" s="1"/>
      <c r="L35" s="99"/>
      <c r="M35" s="104"/>
      <c r="N35" s="96"/>
      <c r="O35" s="96"/>
      <c r="P35" s="96"/>
      <c r="Q35" s="96"/>
      <c r="R35" s="96"/>
      <c r="S35" s="96"/>
      <c r="T35" s="76"/>
      <c r="U35" s="76"/>
    </row>
    <row r="36" spans="1:21">
      <c r="A36" s="573"/>
      <c r="B36" s="565"/>
      <c r="C36" s="565"/>
      <c r="D36" s="91" t="s">
        <v>47</v>
      </c>
      <c r="E36" s="97" t="s">
        <v>130</v>
      </c>
      <c r="F36" s="98" t="s">
        <v>101</v>
      </c>
      <c r="G36" s="94">
        <v>2.0833333333333301E-2</v>
      </c>
      <c r="H36" s="76"/>
      <c r="I36" s="2"/>
      <c r="J36" s="99"/>
      <c r="K36" s="1"/>
      <c r="L36" s="99"/>
      <c r="M36" s="104"/>
      <c r="N36" s="96"/>
      <c r="O36" s="96"/>
      <c r="P36" s="96"/>
      <c r="Q36" s="96"/>
      <c r="R36" s="96"/>
      <c r="S36" s="96"/>
      <c r="T36" s="76"/>
      <c r="U36" s="76"/>
    </row>
    <row r="37" spans="1:21">
      <c r="A37" s="573"/>
      <c r="B37" s="565"/>
      <c r="C37" s="565"/>
      <c r="D37" s="91" t="s">
        <v>47</v>
      </c>
      <c r="E37" s="97" t="s">
        <v>131</v>
      </c>
      <c r="F37" s="98" t="s">
        <v>95</v>
      </c>
      <c r="G37" s="94">
        <v>2.0833333333333301E-2</v>
      </c>
      <c r="H37" s="76"/>
      <c r="I37" s="2"/>
      <c r="J37" s="99"/>
      <c r="K37" s="1"/>
      <c r="L37" s="99"/>
      <c r="M37" s="104"/>
      <c r="N37" s="96"/>
      <c r="O37" s="96"/>
      <c r="P37" s="96"/>
      <c r="Q37" s="96"/>
      <c r="R37" s="96"/>
      <c r="S37" s="96"/>
      <c r="T37" s="76"/>
      <c r="U37" s="76"/>
    </row>
    <row r="38" spans="1:21">
      <c r="A38" s="573"/>
      <c r="B38" s="565"/>
      <c r="C38" s="565"/>
      <c r="D38" s="91" t="s">
        <v>47</v>
      </c>
      <c r="E38" s="97" t="s">
        <v>107</v>
      </c>
      <c r="F38" s="98" t="s">
        <v>95</v>
      </c>
      <c r="G38" s="94">
        <v>2.0833333333333301E-2</v>
      </c>
      <c r="H38" s="76"/>
      <c r="I38" s="562"/>
      <c r="J38" s="563" t="str">
        <f>IF(OR(Resumo!$C$5="ALIARE - AGB", Resumo!$C$5="SIMER",Resumo!$C$5="ALIARE - SOLUTION"), 'Aliare Integra Solution'!$A$28,'Aliare Integra ERP Terceiro'!$A$28)</f>
        <v>Cadastro básico - Usuário empresa, filial e parceiro</v>
      </c>
      <c r="K38" s="563" t="str">
        <f>IF(Resumo!$C$5="ALIARE - SOLUTION", _xlfn.CONCAT('Aliare Integra Solution'!$B$28,"+", 'Aliare Integra Solution'!$B$29), _xlfn.CONCAT('Aliare Integra ERP Terceiro'!$B$29,"+",'Aliare Integra ERP Terceiro'!$B$30))</f>
        <v>1.28 Usuário Filial+1.29 Usuário Empresa</v>
      </c>
      <c r="L38" s="99"/>
      <c r="M38" s="104"/>
      <c r="N38" s="96"/>
      <c r="O38" s="96"/>
      <c r="P38" s="96"/>
      <c r="Q38" s="96"/>
      <c r="R38" s="96"/>
      <c r="S38" s="96"/>
      <c r="T38" s="76"/>
      <c r="U38" s="76"/>
    </row>
    <row r="39" spans="1:21">
      <c r="A39" s="573"/>
      <c r="B39" s="565"/>
      <c r="C39" s="565"/>
      <c r="D39" s="91" t="s">
        <v>47</v>
      </c>
      <c r="E39" s="97" t="s">
        <v>132</v>
      </c>
      <c r="F39" s="98" t="s">
        <v>95</v>
      </c>
      <c r="G39" s="94">
        <v>2.0833333333333301E-2</v>
      </c>
      <c r="H39" s="76"/>
      <c r="I39" s="562"/>
      <c r="J39" s="563"/>
      <c r="K39" s="563"/>
      <c r="L39" s="99"/>
      <c r="M39" s="104"/>
      <c r="N39" s="96"/>
      <c r="O39" s="96"/>
      <c r="P39" s="96"/>
      <c r="Q39" s="96"/>
      <c r="R39" s="96"/>
      <c r="S39" s="96"/>
      <c r="T39" s="76"/>
      <c r="U39" s="76"/>
    </row>
    <row r="40" spans="1:21">
      <c r="A40" s="573"/>
      <c r="B40" s="565"/>
      <c r="C40" s="565"/>
      <c r="D40" s="91" t="s">
        <v>47</v>
      </c>
      <c r="E40" s="97" t="s">
        <v>133</v>
      </c>
      <c r="F40" s="98" t="s">
        <v>95</v>
      </c>
      <c r="G40" s="94">
        <v>2.0833333333333301E-2</v>
      </c>
      <c r="H40" s="76"/>
      <c r="I40" s="562"/>
      <c r="J40" s="563"/>
      <c r="K40" s="563"/>
      <c r="L40" s="99"/>
      <c r="M40" s="104"/>
      <c r="N40" s="96"/>
      <c r="O40" s="96"/>
      <c r="P40" s="96"/>
      <c r="Q40" s="96"/>
      <c r="R40" s="96"/>
      <c r="S40" s="96"/>
      <c r="T40" s="76"/>
      <c r="U40" s="76"/>
    </row>
    <row r="41" spans="1:21">
      <c r="A41" s="573"/>
      <c r="B41" s="565"/>
      <c r="C41" s="565"/>
      <c r="D41" s="91" t="s">
        <v>47</v>
      </c>
      <c r="E41" s="97" t="s">
        <v>134</v>
      </c>
      <c r="F41" s="98" t="s">
        <v>101</v>
      </c>
      <c r="G41" s="94">
        <v>3.125E-2</v>
      </c>
      <c r="H41" s="76"/>
      <c r="I41" s="2"/>
      <c r="J41" s="99"/>
      <c r="K41" s="1"/>
      <c r="L41" s="99"/>
      <c r="M41" s="104"/>
      <c r="N41" s="96"/>
      <c r="O41" s="96"/>
      <c r="P41" s="96"/>
      <c r="Q41" s="96"/>
      <c r="R41" s="96"/>
      <c r="S41" s="96"/>
      <c r="T41" s="76"/>
      <c r="U41" s="76"/>
    </row>
    <row r="42" spans="1:21">
      <c r="A42" s="573"/>
      <c r="B42" s="565"/>
      <c r="C42" s="565"/>
      <c r="D42" s="91" t="s">
        <v>47</v>
      </c>
      <c r="E42" s="97" t="s">
        <v>106</v>
      </c>
      <c r="F42" s="98" t="s">
        <v>95</v>
      </c>
      <c r="G42" s="94">
        <v>2.0833333333333301E-2</v>
      </c>
      <c r="H42" s="76"/>
      <c r="I42" s="2"/>
      <c r="J42" s="99"/>
      <c r="K42" s="1"/>
      <c r="L42" s="99"/>
      <c r="M42" s="104"/>
      <c r="N42" s="96"/>
      <c r="O42" s="96"/>
      <c r="P42" s="96"/>
      <c r="Q42" s="96"/>
      <c r="R42" s="96"/>
      <c r="S42" s="96"/>
      <c r="T42" s="76"/>
      <c r="U42" s="76"/>
    </row>
    <row r="43" spans="1:21">
      <c r="A43" s="573"/>
      <c r="B43" s="565"/>
      <c r="C43" s="565"/>
      <c r="D43" s="91"/>
      <c r="E43" s="97" t="s">
        <v>135</v>
      </c>
      <c r="F43" s="98" t="s">
        <v>101</v>
      </c>
      <c r="G43" s="94">
        <v>2.0833333333333301E-2</v>
      </c>
      <c r="H43" s="76"/>
      <c r="I43" s="2"/>
      <c r="J43" s="99" t="str">
        <f>IF(OR(Resumo!$C$5="ALIARE - AGB", Resumo!$C$5="SIMER",Resumo!$C$5="ALIARE - SOLUTION"), 'Aliare Integra Solution'!$A$46,'Aliare Integra ERP Terceiro'!$A$46)</f>
        <v>Cadastro básico - Veiculo</v>
      </c>
      <c r="K43" s="1" t="str">
        <f>IF(Resumo!$C$5="ALIARE - SOLUTION", 'Aliare Integra Solution'!$B$46, 'Aliare Integra ERP Terceiro'!$B$46)</f>
        <v>1.29 Veículo</v>
      </c>
      <c r="L43" s="99"/>
      <c r="M43" s="104"/>
      <c r="N43" s="96"/>
      <c r="O43" s="96"/>
      <c r="P43" s="96"/>
      <c r="Q43" s="96"/>
      <c r="R43" s="96"/>
      <c r="S43" s="96"/>
      <c r="T43" s="76"/>
      <c r="U43" s="76"/>
    </row>
    <row r="44" spans="1:21">
      <c r="A44" s="573"/>
      <c r="B44" s="565"/>
      <c r="C44" s="565"/>
      <c r="D44" s="91"/>
      <c r="E44" s="97" t="s">
        <v>136</v>
      </c>
      <c r="F44" s="98" t="s">
        <v>101</v>
      </c>
      <c r="G44" s="94">
        <v>2.0833333333333301E-2</v>
      </c>
      <c r="H44" s="76"/>
      <c r="I44" s="2"/>
      <c r="J44" s="99"/>
      <c r="K44" s="1"/>
      <c r="L44" s="99"/>
      <c r="M44" s="104"/>
      <c r="N44" s="96"/>
      <c r="O44" s="96"/>
      <c r="P44" s="96"/>
      <c r="Q44" s="96"/>
      <c r="R44" s="96"/>
      <c r="S44" s="96"/>
      <c r="T44" s="76"/>
      <c r="U44" s="76"/>
    </row>
    <row r="45" spans="1:21">
      <c r="A45" s="573"/>
      <c r="B45" s="565"/>
      <c r="C45" s="565"/>
      <c r="D45" s="91"/>
      <c r="E45" s="97" t="s">
        <v>105</v>
      </c>
      <c r="F45" s="98" t="s">
        <v>101</v>
      </c>
      <c r="G45" s="94">
        <v>2.0833333333333301E-2</v>
      </c>
      <c r="H45" s="76"/>
      <c r="I45" s="2"/>
      <c r="J45" s="99"/>
      <c r="K45" s="1"/>
      <c r="L45" s="99"/>
      <c r="M45" s="104"/>
      <c r="N45" s="96"/>
      <c r="O45" s="96"/>
      <c r="P45" s="96"/>
      <c r="Q45" s="96"/>
      <c r="R45" s="96"/>
      <c r="S45" s="96"/>
      <c r="T45" s="76"/>
      <c r="U45" s="76"/>
    </row>
    <row r="46" spans="1:21">
      <c r="A46" s="573"/>
      <c r="B46" s="565"/>
      <c r="C46" s="565"/>
      <c r="D46" s="91"/>
      <c r="E46" s="97" t="s">
        <v>137</v>
      </c>
      <c r="F46" s="98" t="s">
        <v>101</v>
      </c>
      <c r="G46" s="94">
        <v>2.0833333333333301E-2</v>
      </c>
      <c r="H46" s="76"/>
      <c r="I46" s="2"/>
      <c r="J46" s="99"/>
      <c r="K46" s="1"/>
      <c r="L46" s="99"/>
      <c r="M46" s="104"/>
      <c r="N46" s="96"/>
      <c r="O46" s="96"/>
      <c r="P46" s="96"/>
      <c r="Q46" s="96"/>
      <c r="R46" s="96"/>
      <c r="S46" s="96"/>
      <c r="T46" s="76"/>
      <c r="U46" s="76"/>
    </row>
    <row r="47" spans="1:21">
      <c r="A47" s="573"/>
      <c r="B47" s="565"/>
      <c r="C47" s="565"/>
      <c r="D47" s="91"/>
      <c r="E47" s="97" t="s">
        <v>138</v>
      </c>
      <c r="F47" s="98" t="s">
        <v>101</v>
      </c>
      <c r="G47" s="94">
        <v>2.0833333333333301E-2</v>
      </c>
      <c r="H47" s="76"/>
      <c r="I47" s="2"/>
      <c r="J47" s="99"/>
      <c r="K47" s="1"/>
      <c r="L47" s="99"/>
      <c r="M47" s="104"/>
      <c r="N47" s="96"/>
      <c r="O47" s="96"/>
      <c r="P47" s="96"/>
      <c r="Q47" s="96"/>
      <c r="R47" s="96"/>
      <c r="S47" s="96"/>
      <c r="T47" s="76"/>
      <c r="U47" s="76"/>
    </row>
    <row r="48" spans="1:21">
      <c r="A48" s="573"/>
      <c r="B48" s="565"/>
      <c r="C48" s="564"/>
      <c r="D48" s="91"/>
      <c r="E48" s="101" t="s">
        <v>139</v>
      </c>
      <c r="F48" s="98" t="s">
        <v>101</v>
      </c>
      <c r="G48" s="94">
        <v>2.0833333333333301E-2</v>
      </c>
      <c r="H48" s="76"/>
      <c r="I48" s="2"/>
      <c r="J48" s="99"/>
      <c r="K48" s="1"/>
      <c r="L48" s="99"/>
      <c r="M48" s="104"/>
      <c r="N48" s="96"/>
      <c r="O48" s="96"/>
      <c r="P48" s="96"/>
      <c r="Q48" s="96"/>
      <c r="R48" s="96"/>
      <c r="S48" s="96"/>
      <c r="T48" s="76"/>
      <c r="U48" s="76"/>
    </row>
    <row r="49" spans="1:21" ht="15.75" customHeight="1">
      <c r="A49" s="573"/>
      <c r="B49" s="565"/>
      <c r="C49" s="564" t="s">
        <v>140</v>
      </c>
      <c r="D49" s="91" t="s">
        <v>47</v>
      </c>
      <c r="E49" s="97" t="s">
        <v>141</v>
      </c>
      <c r="F49" s="98" t="s">
        <v>101</v>
      </c>
      <c r="G49" s="94">
        <v>3.125E-2</v>
      </c>
      <c r="H49" s="76"/>
      <c r="I49" s="2"/>
      <c r="J49" s="99"/>
      <c r="K49" s="1"/>
      <c r="L49" s="99"/>
      <c r="M49" s="104"/>
      <c r="N49" s="96"/>
      <c r="O49" s="96"/>
      <c r="P49" s="96"/>
      <c r="Q49" s="96"/>
      <c r="R49" s="96"/>
      <c r="S49" s="96"/>
      <c r="T49" s="76"/>
      <c r="U49" s="76"/>
    </row>
    <row r="50" spans="1:21">
      <c r="A50" s="573"/>
      <c r="B50" s="565"/>
      <c r="C50" s="564"/>
      <c r="D50" s="91" t="s">
        <v>47</v>
      </c>
      <c r="E50" s="97" t="s">
        <v>142</v>
      </c>
      <c r="F50" s="98" t="s">
        <v>101</v>
      </c>
      <c r="G50" s="94">
        <v>3.125E-2</v>
      </c>
      <c r="H50" s="76"/>
      <c r="I50" s="2"/>
      <c r="J50" s="99"/>
      <c r="K50" s="1"/>
      <c r="L50" s="99"/>
      <c r="M50" s="104"/>
      <c r="N50" s="96"/>
      <c r="O50" s="96"/>
      <c r="P50" s="96"/>
      <c r="Q50" s="96"/>
      <c r="R50" s="96"/>
      <c r="S50" s="96"/>
      <c r="T50" s="76"/>
      <c r="U50" s="76"/>
    </row>
    <row r="51" spans="1:21" ht="15.75" customHeight="1">
      <c r="A51" s="573"/>
      <c r="B51" s="565"/>
      <c r="C51" s="564" t="s">
        <v>143</v>
      </c>
      <c r="D51" s="91"/>
      <c r="E51" s="97" t="s">
        <v>144</v>
      </c>
      <c r="F51" s="98" t="s">
        <v>101</v>
      </c>
      <c r="G51" s="94">
        <v>2.0833333333333301E-2</v>
      </c>
      <c r="H51" s="76"/>
      <c r="I51" s="2"/>
      <c r="J51" s="99"/>
      <c r="K51" s="1"/>
      <c r="L51" s="99"/>
      <c r="M51" s="104"/>
      <c r="N51" s="96"/>
      <c r="O51" s="96"/>
      <c r="P51" s="96"/>
      <c r="Q51" s="96"/>
      <c r="R51" s="96"/>
      <c r="S51" s="96"/>
      <c r="T51" s="76"/>
      <c r="U51" s="76"/>
    </row>
    <row r="52" spans="1:21">
      <c r="A52" s="573"/>
      <c r="B52" s="565"/>
      <c r="C52" s="564"/>
      <c r="D52" s="91"/>
      <c r="E52" s="97" t="s">
        <v>145</v>
      </c>
      <c r="F52" s="98" t="s">
        <v>95</v>
      </c>
      <c r="G52" s="94">
        <v>2.0833333333333301E-2</v>
      </c>
      <c r="H52" s="76"/>
      <c r="I52" s="2"/>
      <c r="J52" s="99"/>
      <c r="K52" s="1"/>
      <c r="L52" s="99"/>
      <c r="M52" s="104"/>
      <c r="N52" s="96"/>
      <c r="O52" s="96"/>
      <c r="P52" s="96"/>
      <c r="Q52" s="96"/>
      <c r="R52" s="96"/>
      <c r="S52" s="96"/>
      <c r="T52" s="76"/>
      <c r="U52" s="76"/>
    </row>
    <row r="53" spans="1:21" ht="17.25" customHeight="1">
      <c r="A53" s="573"/>
      <c r="B53" s="565"/>
      <c r="C53" s="574" t="s">
        <v>146</v>
      </c>
      <c r="D53" s="91"/>
      <c r="E53" s="112" t="s">
        <v>147</v>
      </c>
      <c r="F53" s="98" t="s">
        <v>148</v>
      </c>
      <c r="G53" s="94"/>
      <c r="H53" s="76"/>
      <c r="I53" s="2"/>
      <c r="J53" s="99"/>
      <c r="K53" s="1"/>
      <c r="L53" s="99"/>
      <c r="M53" s="104"/>
      <c r="N53" s="96"/>
      <c r="O53" s="96"/>
      <c r="P53" s="96"/>
      <c r="Q53" s="96"/>
      <c r="R53" s="96"/>
      <c r="S53" s="96"/>
      <c r="T53" s="76"/>
      <c r="U53" s="76"/>
    </row>
    <row r="54" spans="1:21">
      <c r="A54" s="573"/>
      <c r="B54" s="565"/>
      <c r="C54" s="565"/>
      <c r="D54" s="91" t="s">
        <v>47</v>
      </c>
      <c r="E54" s="97" t="s">
        <v>149</v>
      </c>
      <c r="F54" s="98" t="s">
        <v>95</v>
      </c>
      <c r="G54" s="94">
        <v>3.125E-2</v>
      </c>
      <c r="H54" s="76"/>
      <c r="I54" s="2"/>
      <c r="J54" s="99" t="str">
        <f>IF(OR(Resumo!$C$5="ALIARE - AGB", Resumo!$C$5="SIMER",Resumo!$C$5="ALIARE - SOLUTION"), 'Aliare Integra Solution'!$A$23,'Aliare Integra ERP Terceiro'!$A$23)</f>
        <v>Cadastro básico - Classe de produto</v>
      </c>
      <c r="K54" s="1" t="str">
        <f>IF(Resumo!$C$5="ALIARE - SOLUTION", 'Aliare Integra Solution'!$B$23, 'Aliare Integra ERP Terceiro'!$B$23)</f>
        <v>1.09 Classe de Produto</v>
      </c>
      <c r="L54" s="99"/>
      <c r="M54" s="104"/>
      <c r="N54" s="96"/>
      <c r="O54" s="96"/>
      <c r="P54" s="96"/>
      <c r="Q54" s="96"/>
      <c r="R54" s="96"/>
      <c r="S54" s="96"/>
      <c r="T54" s="76"/>
      <c r="U54" s="76"/>
    </row>
    <row r="55" spans="1:21" ht="16.5">
      <c r="A55" s="573"/>
      <c r="B55" s="565"/>
      <c r="C55" s="565"/>
      <c r="D55" s="91" t="s">
        <v>47</v>
      </c>
      <c r="E55" s="97" t="s">
        <v>150</v>
      </c>
      <c r="F55" s="98" t="s">
        <v>95</v>
      </c>
      <c r="G55" s="94">
        <v>4.1666666666666699E-2</v>
      </c>
      <c r="H55" s="76"/>
      <c r="I55" s="2">
        <f>IF(Resumo!$C$5="ALIARE - SOLUTION", 'Aliare Integra Solution'!$AC$22, 'Aliare Integra ERP Terceiro'!$AC$22)</f>
        <v>0.125</v>
      </c>
      <c r="J55" s="99" t="str">
        <f>IF(OR(Resumo!$C$5="ALIARE - AGB", Resumo!$C$5="SIMER",Resumo!$C$5="ALIARE - SOLUTION"), 'Aliare Integra Solution'!$A$22,'Aliare Integra ERP Terceiro'!$A$22)</f>
        <v>Cadastro básico - Produto e produto classe</v>
      </c>
      <c r="K55" s="1" t="str">
        <f>IF(Resumo!$C$5="ALIARE - SOLUTION", 'Aliare Integra Solution'!$B$22, 'Aliare Integra ERP Terceiro'!$B$22)</f>
        <v>1.08 Produto e 1.10 Produto Classe</v>
      </c>
      <c r="L55" s="99"/>
      <c r="M55" s="104"/>
      <c r="N55" s="96"/>
      <c r="O55" s="96"/>
      <c r="P55" s="96"/>
      <c r="Q55" s="96"/>
      <c r="R55" s="96"/>
      <c r="S55" s="96"/>
      <c r="T55" s="76"/>
      <c r="U55" s="76"/>
    </row>
    <row r="56" spans="1:21" ht="15" customHeight="1">
      <c r="A56" s="573"/>
      <c r="B56" s="565"/>
      <c r="C56" s="565"/>
      <c r="D56" s="91"/>
      <c r="E56" s="112" t="s">
        <v>151</v>
      </c>
      <c r="F56" s="98" t="s">
        <v>152</v>
      </c>
      <c r="G56" s="94"/>
      <c r="H56" s="76"/>
      <c r="I56" s="2"/>
      <c r="J56" s="99"/>
      <c r="K56" s="1"/>
      <c r="L56" s="99"/>
      <c r="M56" s="104"/>
      <c r="N56" s="96"/>
      <c r="O56" s="96"/>
      <c r="P56" s="96"/>
      <c r="Q56" s="96"/>
      <c r="R56" s="96"/>
      <c r="S56" s="96"/>
      <c r="T56" s="76"/>
      <c r="U56" s="76"/>
    </row>
    <row r="57" spans="1:21">
      <c r="A57" s="573"/>
      <c r="B57" s="565"/>
      <c r="C57" s="565"/>
      <c r="D57" s="91"/>
      <c r="E57" s="97" t="s">
        <v>153</v>
      </c>
      <c r="F57" s="98" t="s">
        <v>101</v>
      </c>
      <c r="G57" s="94">
        <v>2.0833333333333301E-2</v>
      </c>
      <c r="H57" s="76"/>
      <c r="I57" s="2"/>
      <c r="J57" s="99"/>
      <c r="K57" s="1"/>
      <c r="L57" s="99"/>
      <c r="M57" s="104"/>
      <c r="N57" s="96"/>
      <c r="O57" s="96"/>
      <c r="P57" s="96"/>
      <c r="Q57" s="96"/>
      <c r="R57" s="96"/>
      <c r="S57" s="96"/>
      <c r="T57" s="76"/>
      <c r="U57" s="76"/>
    </row>
    <row r="58" spans="1:21">
      <c r="A58" s="573"/>
      <c r="B58" s="565"/>
      <c r="C58" s="565"/>
      <c r="D58" s="91"/>
      <c r="E58" s="97" t="s">
        <v>154</v>
      </c>
      <c r="F58" s="98" t="s">
        <v>101</v>
      </c>
      <c r="G58" s="94">
        <v>2.0833333333333301E-2</v>
      </c>
      <c r="H58" s="76"/>
      <c r="I58" s="2"/>
      <c r="J58" s="99"/>
      <c r="K58" s="1"/>
      <c r="L58" s="99"/>
      <c r="M58" s="104"/>
      <c r="N58" s="96"/>
      <c r="O58" s="96"/>
      <c r="P58" s="96"/>
      <c r="Q58" s="96"/>
      <c r="R58" s="96"/>
      <c r="S58" s="96"/>
      <c r="T58" s="76"/>
      <c r="U58" s="76"/>
    </row>
    <row r="59" spans="1:21">
      <c r="A59" s="573"/>
      <c r="B59" s="565"/>
      <c r="C59" s="565"/>
      <c r="D59" s="91"/>
      <c r="E59" s="97" t="s">
        <v>155</v>
      </c>
      <c r="F59" s="98" t="s">
        <v>101</v>
      </c>
      <c r="G59" s="94">
        <v>2.0833333333333301E-2</v>
      </c>
      <c r="H59" s="76"/>
      <c r="I59" s="2"/>
      <c r="J59" s="99"/>
      <c r="K59" s="1"/>
      <c r="L59" s="99"/>
      <c r="M59" s="104"/>
      <c r="N59" s="96"/>
      <c r="O59" s="96"/>
      <c r="P59" s="96"/>
      <c r="Q59" s="96"/>
      <c r="R59" s="96"/>
      <c r="S59" s="96"/>
      <c r="T59" s="76"/>
      <c r="U59" s="76"/>
    </row>
    <row r="60" spans="1:21" ht="15" hidden="1" customHeight="1">
      <c r="A60" s="573"/>
      <c r="B60" s="565"/>
      <c r="C60" s="565"/>
      <c r="D60" s="91"/>
      <c r="E60" s="112" t="s">
        <v>156</v>
      </c>
      <c r="F60" s="98" t="s">
        <v>152</v>
      </c>
      <c r="G60" s="94"/>
      <c r="H60" s="76"/>
      <c r="I60" s="2"/>
      <c r="J60" s="99"/>
      <c r="K60" s="1"/>
      <c r="L60" s="99"/>
      <c r="M60" s="104"/>
      <c r="N60" s="96"/>
      <c r="O60" s="96"/>
      <c r="P60" s="96"/>
      <c r="Q60" s="96"/>
      <c r="R60" s="96"/>
      <c r="S60" s="96"/>
      <c r="T60" s="76"/>
      <c r="U60" s="76"/>
    </row>
    <row r="61" spans="1:21" ht="15" hidden="1" customHeight="1">
      <c r="A61" s="573"/>
      <c r="B61" s="565"/>
      <c r="C61" s="565"/>
      <c r="D61" s="91"/>
      <c r="E61" s="112" t="s">
        <v>157</v>
      </c>
      <c r="F61" s="98" t="s">
        <v>152</v>
      </c>
      <c r="G61" s="94"/>
      <c r="H61" s="76"/>
      <c r="I61" s="2"/>
      <c r="J61" s="99"/>
      <c r="K61" s="1"/>
      <c r="L61" s="99"/>
      <c r="M61" s="104"/>
      <c r="N61" s="96"/>
      <c r="O61" s="96"/>
      <c r="P61" s="96"/>
      <c r="Q61" s="96"/>
      <c r="R61" s="96"/>
      <c r="S61" s="96"/>
      <c r="T61" s="76"/>
      <c r="U61" s="76"/>
    </row>
    <row r="62" spans="1:21" ht="15" hidden="1" customHeight="1">
      <c r="A62" s="573"/>
      <c r="B62" s="565"/>
      <c r="C62" s="565"/>
      <c r="D62" s="91"/>
      <c r="E62" s="112" t="s">
        <v>158</v>
      </c>
      <c r="F62" s="98" t="s">
        <v>152</v>
      </c>
      <c r="G62" s="94"/>
      <c r="H62" s="76"/>
      <c r="I62" s="2"/>
      <c r="J62" s="99"/>
      <c r="K62" s="1"/>
      <c r="L62" s="99"/>
      <c r="M62" s="104"/>
      <c r="N62" s="96"/>
      <c r="O62" s="96"/>
      <c r="P62" s="96"/>
      <c r="Q62" s="96"/>
      <c r="R62" s="96"/>
      <c r="S62" s="96"/>
      <c r="T62" s="76"/>
      <c r="U62" s="76"/>
    </row>
    <row r="63" spans="1:21" ht="15" hidden="1" customHeight="1">
      <c r="A63" s="573"/>
      <c r="B63" s="565"/>
      <c r="C63" s="565"/>
      <c r="D63" s="91"/>
      <c r="E63" s="112" t="s">
        <v>159</v>
      </c>
      <c r="F63" s="98" t="s">
        <v>152</v>
      </c>
      <c r="G63" s="94"/>
      <c r="H63" s="76"/>
      <c r="I63" s="2"/>
      <c r="J63" s="99"/>
      <c r="K63" s="1"/>
      <c r="L63" s="99"/>
      <c r="M63" s="104"/>
      <c r="N63" s="96"/>
      <c r="O63" s="96"/>
      <c r="P63" s="96"/>
      <c r="Q63" s="96"/>
      <c r="R63" s="96"/>
      <c r="S63" s="96"/>
      <c r="T63" s="76"/>
      <c r="U63" s="76"/>
    </row>
    <row r="64" spans="1:21">
      <c r="A64" s="573"/>
      <c r="B64" s="565"/>
      <c r="C64" s="565"/>
      <c r="D64" s="91" t="s">
        <v>47</v>
      </c>
      <c r="E64" s="103" t="s">
        <v>160</v>
      </c>
      <c r="F64" s="98" t="s">
        <v>101</v>
      </c>
      <c r="G64" s="94">
        <v>2.0833333333333301E-2</v>
      </c>
      <c r="H64" s="76"/>
      <c r="I64" s="2"/>
      <c r="J64" s="99"/>
      <c r="K64" s="1"/>
      <c r="L64" s="99"/>
      <c r="M64" s="104"/>
      <c r="N64" s="96"/>
      <c r="O64" s="96"/>
      <c r="P64" s="113"/>
      <c r="Q64" s="96"/>
      <c r="R64" s="96"/>
      <c r="S64" s="96"/>
      <c r="T64" s="76"/>
      <c r="U64" s="76"/>
    </row>
    <row r="65" spans="1:21" ht="15" hidden="1" customHeight="1">
      <c r="A65" s="573"/>
      <c r="B65" s="565"/>
      <c r="C65" s="565"/>
      <c r="D65" s="91"/>
      <c r="E65" s="114" t="s">
        <v>161</v>
      </c>
      <c r="F65" s="98" t="s">
        <v>152</v>
      </c>
      <c r="G65" s="94"/>
      <c r="H65" s="76"/>
      <c r="I65" s="2"/>
      <c r="J65" s="99"/>
      <c r="K65" s="1"/>
      <c r="L65" s="99"/>
      <c r="M65" s="104"/>
      <c r="N65" s="96"/>
      <c r="O65" s="96"/>
      <c r="P65" s="113"/>
      <c r="Q65" s="96"/>
      <c r="R65" s="96"/>
      <c r="S65" s="96"/>
      <c r="T65" s="76"/>
      <c r="U65" s="76"/>
    </row>
    <row r="66" spans="1:21" ht="15" hidden="1" customHeight="1">
      <c r="A66" s="573"/>
      <c r="B66" s="565"/>
      <c r="C66" s="565"/>
      <c r="D66" s="91"/>
      <c r="E66" s="114" t="s">
        <v>162</v>
      </c>
      <c r="F66" s="98" t="s">
        <v>152</v>
      </c>
      <c r="G66" s="94"/>
      <c r="H66" s="76"/>
      <c r="I66" s="2"/>
      <c r="J66" s="99"/>
      <c r="K66" s="1"/>
      <c r="L66" s="99"/>
      <c r="M66" s="104"/>
      <c r="N66" s="96"/>
      <c r="O66" s="96"/>
      <c r="P66" s="113"/>
      <c r="Q66" s="96"/>
      <c r="R66" s="96"/>
      <c r="S66" s="96"/>
      <c r="T66" s="76"/>
      <c r="U66" s="76"/>
    </row>
    <row r="67" spans="1:21" ht="15" hidden="1" customHeight="1">
      <c r="A67" s="573"/>
      <c r="B67" s="565"/>
      <c r="C67" s="565"/>
      <c r="D67" s="91"/>
      <c r="E67" s="114" t="s">
        <v>163</v>
      </c>
      <c r="F67" s="98" t="s">
        <v>152</v>
      </c>
      <c r="G67" s="94"/>
      <c r="H67" s="76"/>
      <c r="I67" s="2"/>
      <c r="J67" s="99"/>
      <c r="K67" s="1"/>
      <c r="L67" s="99"/>
      <c r="M67" s="104"/>
      <c r="N67" s="96"/>
      <c r="O67" s="96"/>
      <c r="P67" s="113"/>
      <c r="Q67" s="96"/>
      <c r="R67" s="96"/>
      <c r="S67" s="96"/>
      <c r="T67" s="76"/>
      <c r="U67" s="76"/>
    </row>
    <row r="68" spans="1:21" ht="15" hidden="1" customHeight="1">
      <c r="A68" s="573"/>
      <c r="B68" s="565"/>
      <c r="C68" s="565"/>
      <c r="D68" s="91"/>
      <c r="E68" s="114" t="s">
        <v>164</v>
      </c>
      <c r="F68" s="98" t="s">
        <v>152</v>
      </c>
      <c r="G68" s="94"/>
      <c r="H68" s="76"/>
      <c r="I68" s="2"/>
      <c r="J68" s="99"/>
      <c r="K68" s="1"/>
      <c r="L68" s="99"/>
      <c r="M68" s="104"/>
      <c r="N68" s="96"/>
      <c r="O68" s="96"/>
      <c r="P68" s="113"/>
      <c r="Q68" s="96"/>
      <c r="R68" s="96"/>
      <c r="S68" s="96"/>
      <c r="T68" s="76"/>
      <c r="U68" s="76"/>
    </row>
    <row r="69" spans="1:21" ht="15.75" customHeight="1">
      <c r="A69" s="573"/>
      <c r="B69" s="565"/>
      <c r="C69" s="564" t="s">
        <v>165</v>
      </c>
      <c r="D69" s="91" t="s">
        <v>47</v>
      </c>
      <c r="E69" s="100" t="s">
        <v>166</v>
      </c>
      <c r="F69" s="98" t="s">
        <v>101</v>
      </c>
      <c r="G69" s="94">
        <v>2.0833333333333301E-2</v>
      </c>
      <c r="H69" s="76"/>
      <c r="I69" s="2"/>
      <c r="J69" s="99"/>
      <c r="K69" s="1"/>
      <c r="L69" s="104"/>
      <c r="M69" s="113"/>
      <c r="N69" s="113"/>
      <c r="O69" s="113"/>
      <c r="P69" s="113"/>
      <c r="Q69" s="96"/>
      <c r="R69" s="96"/>
      <c r="S69" s="96"/>
      <c r="T69" s="76"/>
      <c r="U69" s="76"/>
    </row>
    <row r="70" spans="1:21">
      <c r="A70" s="573"/>
      <c r="B70" s="565"/>
      <c r="C70" s="564"/>
      <c r="D70" s="91"/>
      <c r="E70" s="100" t="s">
        <v>167</v>
      </c>
      <c r="F70" s="98" t="s">
        <v>101</v>
      </c>
      <c r="G70" s="94">
        <v>2.0833333333333301E-2</v>
      </c>
      <c r="H70" s="76"/>
      <c r="I70" s="2"/>
      <c r="J70" s="99"/>
      <c r="K70" s="1"/>
      <c r="L70" s="104"/>
      <c r="M70" s="113"/>
      <c r="N70" s="113"/>
      <c r="O70" s="113"/>
      <c r="P70" s="113"/>
      <c r="Q70" s="96"/>
      <c r="R70" s="96"/>
      <c r="S70" s="96"/>
      <c r="T70" s="76"/>
      <c r="U70" s="76"/>
    </row>
    <row r="71" spans="1:21">
      <c r="A71" s="573"/>
      <c r="B71" s="565"/>
      <c r="C71" s="564"/>
      <c r="D71" s="91"/>
      <c r="E71" s="100" t="s">
        <v>168</v>
      </c>
      <c r="F71" s="98" t="s">
        <v>101</v>
      </c>
      <c r="G71" s="94">
        <v>2.0833333333333301E-2</v>
      </c>
      <c r="H71" s="76"/>
      <c r="I71" s="2"/>
      <c r="J71" s="99"/>
      <c r="K71" s="1"/>
      <c r="L71" s="104"/>
      <c r="M71" s="113"/>
      <c r="N71" s="113"/>
      <c r="O71" s="113"/>
      <c r="P71" s="113"/>
      <c r="Q71" s="96"/>
      <c r="R71" s="96"/>
      <c r="S71" s="96"/>
      <c r="T71" s="76"/>
      <c r="U71" s="76"/>
    </row>
    <row r="72" spans="1:21">
      <c r="A72" s="573"/>
      <c r="B72" s="565"/>
      <c r="C72" s="564"/>
      <c r="D72" s="91" t="s">
        <v>47</v>
      </c>
      <c r="E72" s="100" t="s">
        <v>169</v>
      </c>
      <c r="F72" s="98" t="s">
        <v>95</v>
      </c>
      <c r="G72" s="94">
        <v>2.0833333333333301E-2</v>
      </c>
      <c r="H72" s="76"/>
      <c r="I72" s="2"/>
      <c r="J72" s="99"/>
      <c r="K72" s="1"/>
      <c r="L72" s="104"/>
      <c r="M72" s="113"/>
      <c r="N72" s="113"/>
      <c r="O72" s="113"/>
      <c r="P72" s="113"/>
      <c r="Q72" s="96"/>
      <c r="R72" s="96"/>
      <c r="S72" s="96"/>
      <c r="T72" s="76"/>
      <c r="U72" s="76"/>
    </row>
    <row r="73" spans="1:21">
      <c r="A73" s="573"/>
      <c r="B73" s="565"/>
      <c r="C73" s="564"/>
      <c r="D73" s="91"/>
      <c r="E73" s="100" t="s">
        <v>170</v>
      </c>
      <c r="F73" s="98" t="s">
        <v>101</v>
      </c>
      <c r="G73" s="94">
        <v>2.0833333333333301E-2</v>
      </c>
      <c r="H73" s="76"/>
      <c r="I73" s="2"/>
      <c r="J73" s="99"/>
      <c r="K73" s="1"/>
      <c r="L73" s="104"/>
      <c r="M73" s="113"/>
      <c r="N73" s="113"/>
      <c r="O73" s="113"/>
      <c r="P73" s="113"/>
      <c r="Q73" s="96"/>
      <c r="R73" s="96"/>
      <c r="S73" s="96"/>
      <c r="T73" s="76"/>
      <c r="U73" s="76"/>
    </row>
    <row r="74" spans="1:21">
      <c r="A74" s="573"/>
      <c r="B74" s="565"/>
      <c r="C74" s="564"/>
      <c r="D74" s="91" t="s">
        <v>47</v>
      </c>
      <c r="E74" s="100" t="s">
        <v>171</v>
      </c>
      <c r="F74" s="98" t="s">
        <v>101</v>
      </c>
      <c r="G74" s="94">
        <v>2.0833333333333301E-2</v>
      </c>
      <c r="H74" s="76"/>
      <c r="I74" s="2"/>
      <c r="J74" s="99"/>
      <c r="K74" s="1"/>
      <c r="L74" s="104"/>
      <c r="M74" s="113"/>
      <c r="N74" s="113"/>
      <c r="O74" s="113"/>
      <c r="P74" s="113"/>
      <c r="Q74" s="96"/>
      <c r="R74" s="96"/>
      <c r="S74" s="96"/>
      <c r="T74" s="76"/>
      <c r="U74" s="76"/>
    </row>
    <row r="75" spans="1:21">
      <c r="A75" s="573"/>
      <c r="B75" s="565"/>
      <c r="C75" s="564"/>
      <c r="D75" s="91"/>
      <c r="E75" s="100" t="s">
        <v>172</v>
      </c>
      <c r="F75" s="98" t="s">
        <v>101</v>
      </c>
      <c r="G75" s="94">
        <v>2.0833333333333301E-2</v>
      </c>
      <c r="H75" s="76"/>
      <c r="I75" s="2"/>
      <c r="J75" s="99"/>
      <c r="K75" s="1"/>
      <c r="L75" s="104"/>
      <c r="M75" s="113"/>
      <c r="N75" s="113"/>
      <c r="O75" s="113"/>
      <c r="P75" s="113"/>
      <c r="Q75" s="96"/>
      <c r="R75" s="96"/>
      <c r="S75" s="96"/>
      <c r="T75" s="76"/>
      <c r="U75" s="76"/>
    </row>
    <row r="76" spans="1:21">
      <c r="A76" s="573"/>
      <c r="B76" s="565"/>
      <c r="C76" s="564"/>
      <c r="D76" s="91"/>
      <c r="E76" s="100" t="s">
        <v>118</v>
      </c>
      <c r="F76" s="98" t="s">
        <v>101</v>
      </c>
      <c r="G76" s="94">
        <v>2.0833333333333301E-2</v>
      </c>
      <c r="H76" s="76"/>
      <c r="I76" s="2"/>
      <c r="J76" s="99"/>
      <c r="K76" s="1"/>
      <c r="L76" s="104"/>
      <c r="M76" s="113"/>
      <c r="N76" s="113"/>
      <c r="O76" s="113"/>
      <c r="P76" s="113"/>
      <c r="Q76" s="96"/>
      <c r="R76" s="96"/>
      <c r="S76" s="96"/>
      <c r="T76" s="76"/>
      <c r="U76" s="76"/>
    </row>
    <row r="77" spans="1:21">
      <c r="A77" s="573"/>
      <c r="B77" s="565"/>
      <c r="C77" s="564"/>
      <c r="D77" s="91" t="s">
        <v>47</v>
      </c>
      <c r="E77" s="100" t="s">
        <v>173</v>
      </c>
      <c r="F77" s="98" t="s">
        <v>101</v>
      </c>
      <c r="G77" s="94">
        <v>2.0833333333333301E-2</v>
      </c>
      <c r="H77" s="76"/>
      <c r="I77" s="2"/>
      <c r="J77" s="99"/>
      <c r="K77" s="1"/>
      <c r="L77" s="104"/>
      <c r="M77" s="113"/>
      <c r="N77" s="113"/>
      <c r="O77" s="113"/>
      <c r="P77" s="113"/>
      <c r="Q77" s="96"/>
      <c r="R77" s="96"/>
      <c r="S77" s="96"/>
      <c r="T77" s="76"/>
      <c r="U77" s="76"/>
    </row>
    <row r="78" spans="1:21">
      <c r="A78" s="573"/>
      <c r="B78" s="565"/>
      <c r="C78" s="564"/>
      <c r="D78" s="91" t="s">
        <v>47</v>
      </c>
      <c r="E78" s="100" t="s">
        <v>174</v>
      </c>
      <c r="F78" s="98" t="s">
        <v>101</v>
      </c>
      <c r="G78" s="94">
        <v>2.0833333333333301E-2</v>
      </c>
      <c r="H78" s="76"/>
      <c r="I78" s="2"/>
      <c r="J78" s="99"/>
      <c r="K78" s="1"/>
      <c r="L78" s="104"/>
      <c r="M78" s="113"/>
      <c r="N78" s="113"/>
      <c r="O78" s="113"/>
      <c r="P78" s="113"/>
      <c r="Q78" s="96"/>
      <c r="R78" s="96"/>
      <c r="S78" s="96"/>
      <c r="T78" s="76"/>
      <c r="U78" s="76"/>
    </row>
    <row r="79" spans="1:21">
      <c r="A79" s="573"/>
      <c r="B79" s="565"/>
      <c r="C79" s="564"/>
      <c r="D79" s="91" t="s">
        <v>47</v>
      </c>
      <c r="E79" s="100" t="s">
        <v>175</v>
      </c>
      <c r="F79" s="98" t="s">
        <v>95</v>
      </c>
      <c r="G79" s="94">
        <v>2.0833333333333301E-2</v>
      </c>
      <c r="H79" s="76"/>
      <c r="I79" s="2"/>
      <c r="J79" s="99"/>
      <c r="K79" s="1"/>
      <c r="L79" s="104"/>
      <c r="M79" s="113"/>
      <c r="N79" s="113"/>
      <c r="O79" s="113"/>
      <c r="P79" s="113"/>
      <c r="Q79" s="96"/>
      <c r="R79" s="96"/>
      <c r="S79" s="96"/>
      <c r="T79" s="76"/>
      <c r="U79" s="76"/>
    </row>
    <row r="80" spans="1:21">
      <c r="A80" s="573"/>
      <c r="B80" s="565"/>
      <c r="C80" s="564"/>
      <c r="D80" s="91"/>
      <c r="E80" s="100" t="s">
        <v>176</v>
      </c>
      <c r="F80" s="98" t="s">
        <v>101</v>
      </c>
      <c r="G80" s="94">
        <v>2.0833333333333301E-2</v>
      </c>
      <c r="H80" s="76"/>
      <c r="I80" s="2"/>
      <c r="J80" s="99"/>
      <c r="K80" s="1"/>
      <c r="L80" s="104"/>
      <c r="M80" s="113"/>
      <c r="N80" s="113"/>
      <c r="O80" s="113"/>
      <c r="P80" s="113"/>
      <c r="Q80" s="96"/>
      <c r="R80" s="96"/>
      <c r="S80" s="96"/>
      <c r="T80" s="76"/>
      <c r="U80" s="76"/>
    </row>
    <row r="81" spans="1:21">
      <c r="A81" s="573"/>
      <c r="B81" s="565"/>
      <c r="C81" s="564"/>
      <c r="D81" s="91" t="s">
        <v>47</v>
      </c>
      <c r="E81" s="100" t="s">
        <v>141</v>
      </c>
      <c r="F81" s="98" t="s">
        <v>101</v>
      </c>
      <c r="G81" s="94">
        <v>2.0833333333333301E-2</v>
      </c>
      <c r="H81" s="76"/>
      <c r="I81" s="2"/>
      <c r="J81" s="99"/>
      <c r="K81" s="1"/>
      <c r="L81" s="104"/>
      <c r="M81" s="113"/>
      <c r="N81" s="113"/>
      <c r="O81" s="113"/>
      <c r="P81" s="113"/>
      <c r="Q81" s="96"/>
      <c r="R81" s="96"/>
      <c r="S81" s="96"/>
      <c r="T81" s="76"/>
      <c r="U81" s="76"/>
    </row>
    <row r="82" spans="1:21">
      <c r="A82" s="573"/>
      <c r="B82" s="565"/>
      <c r="C82" s="564"/>
      <c r="D82" s="91"/>
      <c r="E82" s="100" t="s">
        <v>177</v>
      </c>
      <c r="F82" s="98" t="s">
        <v>101</v>
      </c>
      <c r="G82" s="94">
        <v>2.0833333333333301E-2</v>
      </c>
      <c r="H82" s="76"/>
      <c r="I82" s="2"/>
      <c r="J82" s="99"/>
      <c r="K82" s="1"/>
      <c r="L82" s="104"/>
      <c r="M82" s="113"/>
      <c r="N82" s="113"/>
      <c r="O82" s="113"/>
      <c r="P82" s="113"/>
      <c r="Q82" s="96"/>
      <c r="R82" s="96"/>
      <c r="S82" s="96"/>
      <c r="T82" s="76"/>
      <c r="U82" s="76"/>
    </row>
    <row r="83" spans="1:21">
      <c r="A83" s="573"/>
      <c r="B83" s="565"/>
      <c r="C83" s="564"/>
      <c r="D83" s="91" t="s">
        <v>47</v>
      </c>
      <c r="E83" s="100" t="s">
        <v>178</v>
      </c>
      <c r="F83" s="98" t="s">
        <v>101</v>
      </c>
      <c r="G83" s="94">
        <v>2.0833333333333301E-2</v>
      </c>
      <c r="H83" s="76"/>
      <c r="I83" s="2"/>
      <c r="J83" s="99"/>
      <c r="K83" s="1"/>
      <c r="L83" s="104"/>
      <c r="M83" s="113"/>
      <c r="N83" s="113"/>
      <c r="O83" s="113"/>
      <c r="P83" s="113"/>
      <c r="Q83" s="96"/>
      <c r="R83" s="96"/>
      <c r="S83" s="96"/>
      <c r="T83" s="76"/>
      <c r="U83" s="76"/>
    </row>
    <row r="84" spans="1:21" ht="15.75" customHeight="1">
      <c r="A84" s="573"/>
      <c r="B84" s="565"/>
      <c r="C84" s="564" t="s">
        <v>179</v>
      </c>
      <c r="D84" s="91" t="s">
        <v>47</v>
      </c>
      <c r="E84" s="100" t="s">
        <v>180</v>
      </c>
      <c r="F84" s="98" t="s">
        <v>95</v>
      </c>
      <c r="G84" s="94">
        <v>1.38888888888889E-2</v>
      </c>
      <c r="H84" s="76"/>
      <c r="I84" s="2"/>
      <c r="J84" s="99"/>
      <c r="K84" s="1"/>
      <c r="L84" s="104"/>
      <c r="M84" s="113"/>
      <c r="N84" s="113"/>
      <c r="O84" s="113"/>
      <c r="P84" s="113"/>
      <c r="Q84" s="96"/>
      <c r="R84" s="96"/>
      <c r="S84" s="96"/>
      <c r="T84" s="76"/>
      <c r="U84" s="76"/>
    </row>
    <row r="85" spans="1:21">
      <c r="A85" s="573"/>
      <c r="B85" s="565"/>
      <c r="C85" s="564"/>
      <c r="D85" s="91" t="s">
        <v>47</v>
      </c>
      <c r="E85" s="100" t="s">
        <v>181</v>
      </c>
      <c r="F85" s="98" t="s">
        <v>95</v>
      </c>
      <c r="G85" s="94">
        <v>1.38888888888889E-2</v>
      </c>
      <c r="H85" s="76"/>
      <c r="I85" s="2"/>
      <c r="J85" s="99"/>
      <c r="K85" s="1"/>
      <c r="L85" s="104"/>
      <c r="M85" s="113"/>
      <c r="N85" s="113"/>
      <c r="O85" s="113"/>
      <c r="P85" s="113"/>
      <c r="Q85" s="96"/>
      <c r="R85" s="96"/>
      <c r="S85" s="96"/>
      <c r="T85" s="76"/>
      <c r="U85" s="76"/>
    </row>
    <row r="86" spans="1:21">
      <c r="A86" s="573"/>
      <c r="B86" s="565"/>
      <c r="C86" s="564"/>
      <c r="D86" s="91" t="s">
        <v>47</v>
      </c>
      <c r="E86" s="103" t="s">
        <v>182</v>
      </c>
      <c r="F86" s="98" t="s">
        <v>95</v>
      </c>
      <c r="G86" s="94">
        <v>2.0833333333333301E-2</v>
      </c>
      <c r="H86" s="76"/>
      <c r="I86" s="2"/>
      <c r="J86" s="99"/>
      <c r="K86" s="1"/>
      <c r="L86" s="99"/>
      <c r="M86" s="104"/>
      <c r="N86" s="113"/>
      <c r="O86" s="113"/>
      <c r="P86" s="113"/>
      <c r="Q86" s="96"/>
      <c r="R86" s="96"/>
      <c r="S86" s="96"/>
      <c r="T86" s="76"/>
      <c r="U86" s="76"/>
    </row>
    <row r="87" spans="1:21">
      <c r="A87" s="573"/>
      <c r="B87" s="565"/>
      <c r="C87" s="564"/>
      <c r="D87" s="91" t="s">
        <v>47</v>
      </c>
      <c r="E87" s="100" t="s">
        <v>183</v>
      </c>
      <c r="F87" s="98" t="s">
        <v>95</v>
      </c>
      <c r="G87" s="94">
        <v>2.0833333333333301E-2</v>
      </c>
      <c r="H87" s="76"/>
      <c r="I87" s="2"/>
      <c r="J87" s="99"/>
      <c r="K87" s="1"/>
      <c r="L87" s="104"/>
      <c r="M87" s="113"/>
      <c r="N87" s="113"/>
      <c r="O87" s="113"/>
      <c r="P87" s="113"/>
      <c r="Q87" s="96"/>
      <c r="R87" s="96"/>
      <c r="S87" s="96"/>
      <c r="T87" s="76"/>
      <c r="U87" s="76"/>
    </row>
    <row r="88" spans="1:21">
      <c r="A88" s="573"/>
      <c r="B88" s="565"/>
      <c r="C88" s="564"/>
      <c r="D88" s="91" t="s">
        <v>47</v>
      </c>
      <c r="E88" s="100" t="s">
        <v>184</v>
      </c>
      <c r="F88" s="98" t="s">
        <v>95</v>
      </c>
      <c r="G88" s="94">
        <v>2.0833333333333301E-2</v>
      </c>
      <c r="H88" s="76"/>
      <c r="I88" s="2"/>
      <c r="J88" s="99"/>
      <c r="K88" s="1"/>
      <c r="L88" s="104"/>
      <c r="M88" s="113"/>
      <c r="N88" s="113"/>
      <c r="O88" s="113"/>
      <c r="P88" s="113"/>
      <c r="Q88" s="96"/>
      <c r="R88" s="96"/>
      <c r="S88" s="96"/>
      <c r="T88" s="76"/>
      <c r="U88" s="76"/>
    </row>
    <row r="89" spans="1:21">
      <c r="A89" s="573"/>
      <c r="B89" s="565"/>
      <c r="C89" s="564"/>
      <c r="D89" s="91"/>
      <c r="E89" s="100" t="s">
        <v>185</v>
      </c>
      <c r="F89" s="115" t="s">
        <v>101</v>
      </c>
      <c r="G89" s="94">
        <v>2.0833333333333301E-2</v>
      </c>
      <c r="H89" s="76"/>
      <c r="I89" s="2"/>
      <c r="J89" s="99"/>
      <c r="K89" s="1"/>
      <c r="L89" s="104"/>
      <c r="M89" s="113"/>
      <c r="N89" s="113"/>
      <c r="O89" s="113"/>
      <c r="P89" s="113"/>
      <c r="Q89" s="96"/>
      <c r="R89" s="96"/>
      <c r="S89" s="96"/>
      <c r="T89" s="76"/>
      <c r="U89" s="76"/>
    </row>
    <row r="90" spans="1:21">
      <c r="A90" s="573"/>
      <c r="B90" s="565"/>
      <c r="C90" s="564"/>
      <c r="D90" s="91" t="s">
        <v>47</v>
      </c>
      <c r="E90" s="100" t="s">
        <v>186</v>
      </c>
      <c r="F90" s="115" t="s">
        <v>95</v>
      </c>
      <c r="G90" s="94">
        <v>1.7361111111111101E-2</v>
      </c>
      <c r="H90" s="76"/>
      <c r="I90" s="2"/>
      <c r="J90" s="99"/>
      <c r="K90" s="1"/>
      <c r="L90" s="104"/>
      <c r="M90" s="113"/>
      <c r="N90" s="113"/>
      <c r="O90" s="113"/>
      <c r="P90" s="113"/>
      <c r="Q90" s="96"/>
      <c r="R90" s="96"/>
      <c r="S90" s="96"/>
      <c r="T90" s="76"/>
      <c r="U90" s="76"/>
    </row>
    <row r="91" spans="1:21">
      <c r="A91" s="573"/>
      <c r="B91" s="565"/>
      <c r="C91" s="564"/>
      <c r="D91" s="91" t="s">
        <v>47</v>
      </c>
      <c r="E91" s="100" t="s">
        <v>187</v>
      </c>
      <c r="F91" s="115" t="s">
        <v>95</v>
      </c>
      <c r="G91" s="94">
        <v>2.0833333333333301E-2</v>
      </c>
      <c r="H91" s="76"/>
      <c r="I91" s="2"/>
      <c r="J91" s="99"/>
      <c r="K91" s="1"/>
      <c r="L91" s="104"/>
      <c r="M91" s="113"/>
      <c r="N91" s="113"/>
      <c r="O91" s="113"/>
      <c r="P91" s="113"/>
      <c r="Q91" s="96"/>
      <c r="R91" s="96"/>
      <c r="S91" s="96"/>
      <c r="T91" s="76"/>
      <c r="U91" s="76"/>
    </row>
    <row r="92" spans="1:21">
      <c r="A92" s="573"/>
      <c r="B92" s="565"/>
      <c r="C92" s="564"/>
      <c r="D92" s="91" t="s">
        <v>47</v>
      </c>
      <c r="E92" s="100" t="s">
        <v>188</v>
      </c>
      <c r="F92" s="115" t="s">
        <v>95</v>
      </c>
      <c r="G92" s="94">
        <v>3.125E-2</v>
      </c>
      <c r="H92" s="76"/>
      <c r="I92" s="2"/>
      <c r="J92" s="99"/>
      <c r="K92" s="1"/>
      <c r="L92" s="104"/>
      <c r="M92" s="113"/>
      <c r="N92" s="113"/>
      <c r="O92" s="113"/>
      <c r="P92" s="113"/>
      <c r="Q92" s="96"/>
      <c r="R92" s="96"/>
      <c r="S92" s="96"/>
      <c r="T92" s="76"/>
      <c r="U92" s="76"/>
    </row>
    <row r="93" spans="1:21">
      <c r="A93" s="573"/>
      <c r="B93" s="565"/>
      <c r="C93" s="564"/>
      <c r="D93" s="91"/>
      <c r="E93" s="100" t="s">
        <v>189</v>
      </c>
      <c r="F93" s="115" t="s">
        <v>101</v>
      </c>
      <c r="G93" s="94">
        <v>1.7361111111111101E-2</v>
      </c>
      <c r="H93" s="76"/>
      <c r="I93" s="2"/>
      <c r="J93" s="99"/>
      <c r="K93" s="1"/>
      <c r="L93" s="104"/>
      <c r="M93" s="113"/>
      <c r="N93" s="113"/>
      <c r="O93" s="113"/>
      <c r="P93" s="113"/>
      <c r="Q93" s="96"/>
      <c r="R93" s="96"/>
      <c r="S93" s="96"/>
      <c r="T93" s="76"/>
      <c r="U93" s="76"/>
    </row>
    <row r="94" spans="1:21">
      <c r="A94" s="573"/>
      <c r="B94" s="565"/>
      <c r="C94" s="564"/>
      <c r="D94" s="91" t="s">
        <v>47</v>
      </c>
      <c r="E94" s="100" t="s">
        <v>190</v>
      </c>
      <c r="F94" s="115" t="s">
        <v>101</v>
      </c>
      <c r="G94" s="94">
        <v>1.7361111111111101E-2</v>
      </c>
      <c r="H94" s="76"/>
      <c r="I94" s="2"/>
      <c r="J94" s="99"/>
      <c r="K94" s="1"/>
      <c r="L94" s="104"/>
      <c r="M94" s="113"/>
      <c r="N94" s="113"/>
      <c r="O94" s="113"/>
      <c r="P94" s="113"/>
      <c r="Q94" s="96"/>
      <c r="R94" s="96"/>
      <c r="S94" s="96"/>
      <c r="T94" s="76"/>
      <c r="U94" s="76"/>
    </row>
    <row r="95" spans="1:21">
      <c r="A95" s="573"/>
      <c r="B95" s="565"/>
      <c r="C95" s="564"/>
      <c r="D95" s="91" t="s">
        <v>47</v>
      </c>
      <c r="E95" s="100" t="s">
        <v>191</v>
      </c>
      <c r="F95" s="115" t="s">
        <v>95</v>
      </c>
      <c r="G95" s="94">
        <v>2.0833333333333301E-2</v>
      </c>
      <c r="H95" s="76"/>
      <c r="I95" s="2"/>
      <c r="J95" s="99"/>
      <c r="K95" s="1"/>
      <c r="L95" s="104"/>
      <c r="M95" s="113"/>
      <c r="N95" s="113"/>
      <c r="O95" s="113"/>
      <c r="P95" s="113"/>
      <c r="Q95" s="96"/>
      <c r="R95" s="96"/>
      <c r="S95" s="96"/>
      <c r="T95" s="76"/>
      <c r="U95" s="76"/>
    </row>
    <row r="96" spans="1:21">
      <c r="A96" s="573"/>
      <c r="B96" s="565"/>
      <c r="C96" s="564"/>
      <c r="D96" s="91"/>
      <c r="E96" s="100" t="s">
        <v>192</v>
      </c>
      <c r="F96" s="115" t="s">
        <v>101</v>
      </c>
      <c r="G96" s="94">
        <v>2.0833333333333301E-2</v>
      </c>
      <c r="H96" s="76"/>
      <c r="I96" s="2"/>
      <c r="J96" s="99"/>
      <c r="K96" s="1"/>
      <c r="L96" s="104"/>
      <c r="M96" s="113"/>
      <c r="N96" s="113"/>
      <c r="O96" s="113"/>
      <c r="P96" s="113"/>
      <c r="Q96" s="96"/>
      <c r="R96" s="96"/>
      <c r="S96" s="96"/>
      <c r="T96" s="76"/>
      <c r="U96" s="76"/>
    </row>
    <row r="97" spans="1:25" ht="15.75" customHeight="1">
      <c r="A97" s="573"/>
      <c r="B97" s="565"/>
      <c r="C97" s="564"/>
      <c r="D97" s="91" t="s">
        <v>47</v>
      </c>
      <c r="E97" s="100" t="s">
        <v>112</v>
      </c>
      <c r="F97" s="115" t="s">
        <v>101</v>
      </c>
      <c r="G97" s="94">
        <v>2.0833333333333301E-2</v>
      </c>
      <c r="H97" s="76"/>
      <c r="I97" s="2"/>
      <c r="J97" s="99"/>
      <c r="K97" s="1"/>
      <c r="L97" s="104"/>
      <c r="M97" s="113"/>
      <c r="N97" s="113"/>
      <c r="O97" s="113"/>
      <c r="P97" s="113"/>
      <c r="Q97" s="96"/>
      <c r="R97" s="96"/>
      <c r="S97" s="96"/>
      <c r="T97" s="76"/>
      <c r="U97" s="76"/>
    </row>
    <row r="98" spans="1:25" ht="15.75" customHeight="1">
      <c r="A98" s="573"/>
      <c r="B98" s="565"/>
      <c r="C98" s="564"/>
      <c r="D98" s="91" t="s">
        <v>47</v>
      </c>
      <c r="E98" s="100" t="s">
        <v>193</v>
      </c>
      <c r="F98" s="115" t="s">
        <v>101</v>
      </c>
      <c r="G98" s="94">
        <v>1.7361111111111101E-2</v>
      </c>
      <c r="H98" s="76"/>
      <c r="I98" s="2"/>
      <c r="J98" s="99"/>
      <c r="K98" s="1"/>
      <c r="L98" s="104"/>
      <c r="M98" s="113"/>
      <c r="N98" s="113"/>
      <c r="O98" s="113"/>
      <c r="P98" s="113"/>
      <c r="Q98" s="96"/>
      <c r="R98" s="96"/>
      <c r="S98" s="96"/>
      <c r="T98" s="76"/>
      <c r="U98" s="76"/>
    </row>
    <row r="99" spans="1:25" ht="15.75" customHeight="1">
      <c r="A99" s="573"/>
      <c r="B99" s="565"/>
      <c r="C99" s="564"/>
      <c r="D99" s="91" t="s">
        <v>47</v>
      </c>
      <c r="E99" s="100" t="s">
        <v>194</v>
      </c>
      <c r="F99" s="115" t="s">
        <v>101</v>
      </c>
      <c r="G99" s="94">
        <v>2.0833333333333301E-2</v>
      </c>
      <c r="H99" s="76"/>
      <c r="I99" s="2"/>
      <c r="J99" s="99"/>
      <c r="K99" s="1"/>
      <c r="L99" s="104"/>
      <c r="M99" s="113"/>
      <c r="N99" s="113"/>
      <c r="O99" s="113"/>
      <c r="P99" s="113"/>
      <c r="Q99" s="96"/>
      <c r="R99" s="96"/>
      <c r="S99" s="96"/>
      <c r="T99" s="76"/>
      <c r="U99" s="76"/>
    </row>
    <row r="100" spans="1:25" ht="26.25" customHeight="1">
      <c r="A100" s="116"/>
      <c r="B100" s="575" t="s">
        <v>49</v>
      </c>
      <c r="C100" s="575"/>
      <c r="D100" s="116"/>
      <c r="E100" s="117"/>
      <c r="F100" s="116"/>
      <c r="G100" s="118">
        <f>ROUNDUP(IF($A$101="x", SUMIF($D$101:$D$125,"x",$G$101:$G$125) * 24, 0),0)</f>
        <v>0</v>
      </c>
      <c r="H100" s="119"/>
      <c r="I100" s="118">
        <f>ROUNDUP(IF($A$101="x",SUMIF($D$101:$D$125,"x",$I$101:$I$125)*24,0),0)</f>
        <v>0</v>
      </c>
      <c r="J100" s="120"/>
      <c r="K100" s="121"/>
      <c r="L100" s="122">
        <f>IF(A101="x",SUM(L101:L125)*24 + IF(Resumo!C7 = "SIM",SUM(L101:L125)*24*0.3,0),0)</f>
        <v>0</v>
      </c>
      <c r="M100" s="122">
        <f>IF(D109="x",(($G$100-8.25)*0.1592),$G$100*0.1592)</f>
        <v>-1.3134000000000001</v>
      </c>
      <c r="N100" s="122">
        <f>(($G$100-$L$100)*0.1802) + IF(Resumo!$C$7 = "SIM",((($G$100-$L$100)*0.1802)*0.3),0)</f>
        <v>0</v>
      </c>
      <c r="O100" s="122">
        <f>($G$100-$L$100)*0.2402</f>
        <v>0</v>
      </c>
      <c r="P100" s="122">
        <f>(($G$100-$L100)*0.1802) + IF(Resumo!$C$7 = "SIM",(($G$100-$L$100)*0.1802)*0.3,0)</f>
        <v>0</v>
      </c>
      <c r="Q100" s="122">
        <f>(($G$100-$L$100)*0.2402)*Resumo!P9</f>
        <v>0</v>
      </c>
      <c r="R100" s="122">
        <f>$G$100*0</f>
        <v>0</v>
      </c>
      <c r="S100" s="122">
        <v>0</v>
      </c>
      <c r="T100" s="76"/>
      <c r="U100" s="76"/>
      <c r="V100" s="89"/>
      <c r="W100" s="89"/>
      <c r="X100" s="89"/>
      <c r="Y100" s="90">
        <f>SUM(Q100:X100)</f>
        <v>0</v>
      </c>
    </row>
    <row r="101" spans="1:25" ht="15" customHeight="1">
      <c r="A101" s="576" t="str">
        <f>IF(Resumo!A16="x",Resumo!A16,"")</f>
        <v/>
      </c>
      <c r="B101" s="577"/>
      <c r="C101" s="578" t="s">
        <v>179</v>
      </c>
      <c r="D101" s="123" t="s">
        <v>47</v>
      </c>
      <c r="E101" s="124" t="s">
        <v>195</v>
      </c>
      <c r="F101" s="125" t="s">
        <v>95</v>
      </c>
      <c r="G101" s="579">
        <v>6.25E-2</v>
      </c>
      <c r="H101" s="126"/>
      <c r="I101" s="127"/>
      <c r="J101" s="128"/>
      <c r="K101" s="129"/>
      <c r="L101" s="128"/>
      <c r="M101" s="130"/>
      <c r="N101" s="131"/>
      <c r="O101" s="131"/>
      <c r="P101" s="131"/>
      <c r="Q101" s="131"/>
      <c r="R101" s="131"/>
      <c r="S101" s="131"/>
      <c r="T101" s="76"/>
      <c r="U101" s="76"/>
    </row>
    <row r="102" spans="1:25" ht="15" customHeight="1">
      <c r="A102" s="576"/>
      <c r="B102" s="576"/>
      <c r="C102" s="578"/>
      <c r="D102" s="123" t="s">
        <v>47</v>
      </c>
      <c r="E102" s="124" t="s">
        <v>196</v>
      </c>
      <c r="F102" s="125" t="s">
        <v>95</v>
      </c>
      <c r="G102" s="579"/>
      <c r="H102" s="76"/>
      <c r="I102" s="127"/>
      <c r="J102" s="128"/>
      <c r="K102" s="129"/>
      <c r="L102" s="128"/>
      <c r="M102" s="130"/>
      <c r="N102" s="131"/>
      <c r="O102" s="131"/>
      <c r="P102" s="131"/>
      <c r="Q102" s="131"/>
      <c r="R102" s="131"/>
      <c r="S102" s="131"/>
      <c r="T102" s="76"/>
      <c r="U102" s="76"/>
    </row>
    <row r="103" spans="1:25" ht="15" customHeight="1">
      <c r="A103" s="576"/>
      <c r="B103" s="576"/>
      <c r="C103" s="578"/>
      <c r="D103" s="123" t="s">
        <v>47</v>
      </c>
      <c r="E103" s="124" t="s">
        <v>197</v>
      </c>
      <c r="F103" s="125" t="s">
        <v>95</v>
      </c>
      <c r="G103" s="579"/>
      <c r="H103" s="76"/>
      <c r="I103" s="127"/>
      <c r="J103" s="128"/>
      <c r="K103" s="129"/>
      <c r="L103" s="128"/>
      <c r="M103" s="130"/>
      <c r="N103" s="131"/>
      <c r="O103" s="131"/>
      <c r="P103" s="131"/>
      <c r="Q103" s="131"/>
      <c r="R103" s="131"/>
      <c r="S103" s="131"/>
      <c r="T103" s="76"/>
      <c r="U103" s="76"/>
    </row>
    <row r="104" spans="1:25" ht="15" customHeight="1">
      <c r="A104" s="576"/>
      <c r="B104" s="576"/>
      <c r="C104" s="578"/>
      <c r="D104" s="123" t="s">
        <v>47</v>
      </c>
      <c r="E104" s="124" t="s">
        <v>198</v>
      </c>
      <c r="F104" s="132" t="s">
        <v>101</v>
      </c>
      <c r="G104" s="133">
        <v>4.1666666666666699E-2</v>
      </c>
      <c r="H104" s="76"/>
      <c r="I104" s="127"/>
      <c r="J104" s="128"/>
      <c r="K104" s="129"/>
      <c r="L104" s="130"/>
      <c r="M104" s="130"/>
      <c r="N104" s="131"/>
      <c r="O104" s="131"/>
      <c r="P104" s="131"/>
      <c r="Q104" s="131"/>
      <c r="R104" s="131"/>
      <c r="S104" s="131"/>
      <c r="T104" s="76"/>
      <c r="U104" s="76"/>
    </row>
    <row r="105" spans="1:25" ht="15" customHeight="1">
      <c r="A105" s="576"/>
      <c r="B105" s="576"/>
      <c r="C105" s="578"/>
      <c r="D105" s="123"/>
      <c r="E105" s="124" t="s">
        <v>199</v>
      </c>
      <c r="F105" s="132" t="s">
        <v>101</v>
      </c>
      <c r="G105" s="133">
        <v>2.0833333333333301E-2</v>
      </c>
      <c r="H105" s="76"/>
      <c r="I105" s="127"/>
      <c r="J105" s="128"/>
      <c r="K105" s="129"/>
      <c r="L105" s="130"/>
      <c r="M105" s="130"/>
      <c r="N105" s="131"/>
      <c r="O105" s="131"/>
      <c r="P105" s="131"/>
      <c r="Q105" s="131"/>
      <c r="R105" s="131"/>
      <c r="S105" s="131"/>
      <c r="T105" s="76"/>
      <c r="U105" s="76"/>
    </row>
    <row r="106" spans="1:25" ht="15" customHeight="1">
      <c r="A106" s="576"/>
      <c r="B106" s="576"/>
      <c r="C106" s="580" t="s">
        <v>200</v>
      </c>
      <c r="D106" s="123" t="s">
        <v>47</v>
      </c>
      <c r="E106" s="124" t="s">
        <v>201</v>
      </c>
      <c r="F106" s="132" t="s">
        <v>101</v>
      </c>
      <c r="G106" s="133">
        <v>1.0416666666666701E-2</v>
      </c>
      <c r="H106" s="76"/>
      <c r="I106" s="127"/>
      <c r="J106" s="128"/>
      <c r="K106" s="129"/>
      <c r="L106" s="130"/>
      <c r="M106" s="130"/>
      <c r="N106" s="131"/>
      <c r="O106" s="131"/>
      <c r="P106" s="131"/>
      <c r="Q106" s="131"/>
      <c r="R106" s="131"/>
      <c r="S106" s="131"/>
      <c r="T106" s="76"/>
      <c r="U106" s="76"/>
    </row>
    <row r="107" spans="1:25" ht="15" customHeight="1">
      <c r="A107" s="576"/>
      <c r="B107" s="576"/>
      <c r="C107" s="576"/>
      <c r="D107" s="123" t="s">
        <v>47</v>
      </c>
      <c r="E107" s="124" t="s">
        <v>202</v>
      </c>
      <c r="F107" s="132" t="s">
        <v>101</v>
      </c>
      <c r="G107" s="133">
        <v>2.0833333333333301E-2</v>
      </c>
      <c r="H107" s="76"/>
      <c r="I107" s="127"/>
      <c r="J107" s="128"/>
      <c r="K107" s="129"/>
      <c r="L107" s="130"/>
      <c r="M107" s="130"/>
      <c r="N107" s="131"/>
      <c r="O107" s="131"/>
      <c r="P107" s="131"/>
      <c r="Q107" s="131"/>
      <c r="R107" s="131"/>
      <c r="S107" s="131"/>
      <c r="T107" s="76"/>
      <c r="U107" s="76"/>
    </row>
    <row r="108" spans="1:25" ht="15" customHeight="1">
      <c r="A108" s="576"/>
      <c r="B108" s="576"/>
      <c r="C108" s="576"/>
      <c r="D108" s="123" t="s">
        <v>47</v>
      </c>
      <c r="E108" s="124" t="s">
        <v>203</v>
      </c>
      <c r="F108" s="132" t="s">
        <v>101</v>
      </c>
      <c r="G108" s="133">
        <v>1.0416666666666701E-2</v>
      </c>
      <c r="H108" s="76"/>
      <c r="I108" s="127"/>
      <c r="J108" s="128"/>
      <c r="K108" s="129"/>
      <c r="L108" s="130"/>
      <c r="M108" s="130"/>
      <c r="N108" s="131"/>
      <c r="O108" s="131"/>
      <c r="P108" s="131"/>
      <c r="Q108" s="131"/>
      <c r="R108" s="131"/>
      <c r="S108" s="131"/>
      <c r="T108" s="76"/>
      <c r="U108" s="76"/>
    </row>
    <row r="109" spans="1:25" ht="15" customHeight="1">
      <c r="A109" s="576"/>
      <c r="B109" s="576"/>
      <c r="C109" s="576"/>
      <c r="D109" s="123" t="s">
        <v>204</v>
      </c>
      <c r="E109" s="124" t="s">
        <v>205</v>
      </c>
      <c r="F109" s="132" t="s">
        <v>101</v>
      </c>
      <c r="G109" s="133">
        <v>1.7361111111111101E-2</v>
      </c>
      <c r="H109" s="76"/>
      <c r="I109" s="134">
        <f>IF(Resumo!$C$5="ALIARE - SOLUTION", 'Aliare Integra Solution'!$AC$24, 'Aliare Integra ERP Terceiro'!$AC$24)</f>
        <v>0</v>
      </c>
      <c r="J109" s="128" t="str">
        <f>IF(OR(Resumo!$C$5="ALIARE - AGB", Resumo!$C$5="SIMER",Resumo!$C$5="ALIARE - SOLUTION"), 'Aliare Integra Solution'!$A$24,'Aliare Integra ERP Terceiro'!$A$24)</f>
        <v>Movimentação financeira - Local nota fiscal</v>
      </c>
      <c r="K109" s="129" t="str">
        <f>IF(Resumo!$C$5="ALIARE - SOLUTION", 'Aliare Integra Solution'!$B$24,'Aliare Integra ERP Terceiro'!$B$24)</f>
        <v>3.1 Local Nota Fiscal</v>
      </c>
      <c r="L109" s="135">
        <v>0.16666666666666699</v>
      </c>
      <c r="M109" s="130"/>
      <c r="N109" s="131"/>
      <c r="O109" s="131"/>
      <c r="P109" s="131"/>
      <c r="Q109" s="131"/>
      <c r="R109" s="131"/>
      <c r="S109" s="131"/>
      <c r="T109" s="76"/>
      <c r="U109" s="76"/>
    </row>
    <row r="110" spans="1:25" ht="31.5" customHeight="1">
      <c r="A110" s="576"/>
      <c r="B110" s="576"/>
      <c r="C110" s="576"/>
      <c r="D110" s="129"/>
      <c r="E110" s="136" t="s">
        <v>206</v>
      </c>
      <c r="F110" s="132" t="s">
        <v>101</v>
      </c>
      <c r="G110" s="133">
        <v>1.0416666666666701E-2</v>
      </c>
      <c r="H110" s="76"/>
      <c r="I110" s="127"/>
      <c r="J110" s="128"/>
      <c r="K110" s="129"/>
      <c r="L110" s="130"/>
      <c r="M110" s="130"/>
      <c r="N110" s="131"/>
      <c r="O110" s="131"/>
      <c r="P110" s="131"/>
      <c r="Q110" s="131"/>
      <c r="R110" s="131"/>
      <c r="S110" s="131"/>
      <c r="T110" s="76"/>
      <c r="U110" s="76"/>
    </row>
    <row r="111" spans="1:25" ht="15.75" customHeight="1">
      <c r="A111" s="576"/>
      <c r="B111" s="576"/>
      <c r="C111" s="581" t="s">
        <v>165</v>
      </c>
      <c r="D111" s="123"/>
      <c r="E111" s="136" t="s">
        <v>207</v>
      </c>
      <c r="F111" s="132" t="s">
        <v>101</v>
      </c>
      <c r="G111" s="133">
        <v>6.9444444444444397E-3</v>
      </c>
      <c r="H111" s="76"/>
      <c r="I111" s="127"/>
      <c r="J111" s="128"/>
      <c r="K111" s="129"/>
      <c r="L111" s="130"/>
      <c r="M111" s="130"/>
      <c r="N111" s="131"/>
      <c r="O111" s="131"/>
      <c r="P111" s="131"/>
      <c r="Q111" s="131"/>
      <c r="R111" s="131"/>
      <c r="S111" s="131"/>
      <c r="T111" s="76"/>
      <c r="U111" s="76"/>
    </row>
    <row r="112" spans="1:25">
      <c r="A112" s="576"/>
      <c r="B112" s="576"/>
      <c r="C112" s="576"/>
      <c r="D112" s="123"/>
      <c r="E112" s="136" t="s">
        <v>208</v>
      </c>
      <c r="F112" s="132" t="s">
        <v>101</v>
      </c>
      <c r="G112" s="133">
        <v>6.9444444444444397E-3</v>
      </c>
      <c r="H112" s="76"/>
      <c r="I112" s="127"/>
      <c r="J112" s="128"/>
      <c r="K112" s="129"/>
      <c r="L112" s="130"/>
      <c r="M112" s="130"/>
      <c r="N112" s="131"/>
      <c r="O112" s="131"/>
      <c r="P112" s="131"/>
      <c r="Q112" s="131"/>
      <c r="R112" s="131"/>
      <c r="S112" s="131"/>
      <c r="T112" s="76"/>
      <c r="U112" s="76"/>
    </row>
    <row r="113" spans="1:93">
      <c r="A113" s="576"/>
      <c r="B113" s="576"/>
      <c r="C113" s="576"/>
      <c r="D113" s="123"/>
      <c r="E113" s="136" t="s">
        <v>209</v>
      </c>
      <c r="F113" s="132" t="s">
        <v>101</v>
      </c>
      <c r="G113" s="133">
        <v>6.9444444444444397E-3</v>
      </c>
      <c r="H113" s="76"/>
      <c r="I113" s="127"/>
      <c r="J113" s="128"/>
      <c r="K113" s="129"/>
      <c r="L113" s="130"/>
      <c r="M113" s="130"/>
      <c r="N113" s="131"/>
      <c r="O113" s="131"/>
      <c r="P113" s="131"/>
      <c r="Q113" s="131"/>
      <c r="R113" s="131"/>
      <c r="S113" s="131"/>
      <c r="T113" s="76"/>
      <c r="U113" s="76"/>
    </row>
    <row r="114" spans="1:93">
      <c r="A114" s="576"/>
      <c r="B114" s="576"/>
      <c r="C114" s="576"/>
      <c r="D114" s="123" t="s">
        <v>47</v>
      </c>
      <c r="E114" s="136" t="s">
        <v>210</v>
      </c>
      <c r="F114" s="132" t="s">
        <v>101</v>
      </c>
      <c r="G114" s="133">
        <v>6.9444444444444397E-3</v>
      </c>
      <c r="H114" s="76"/>
      <c r="I114" s="127"/>
      <c r="J114" s="128"/>
      <c r="K114" s="129"/>
      <c r="L114" s="130"/>
      <c r="M114" s="130"/>
      <c r="N114" s="131"/>
      <c r="O114" s="131"/>
      <c r="P114" s="131"/>
      <c r="Q114" s="131"/>
      <c r="R114" s="131"/>
      <c r="S114" s="131"/>
      <c r="T114" s="76"/>
      <c r="U114" s="76"/>
    </row>
    <row r="115" spans="1:93">
      <c r="A115" s="576"/>
      <c r="B115" s="576"/>
      <c r="C115" s="576"/>
      <c r="D115" s="123"/>
      <c r="E115" s="136" t="s">
        <v>211</v>
      </c>
      <c r="F115" s="132" t="s">
        <v>101</v>
      </c>
      <c r="G115" s="133">
        <v>6.9444444444444397E-3</v>
      </c>
      <c r="H115" s="76"/>
      <c r="I115" s="127"/>
      <c r="J115" s="128"/>
      <c r="K115" s="129"/>
      <c r="L115" s="130"/>
      <c r="M115" s="130"/>
      <c r="N115" s="131"/>
      <c r="O115" s="131"/>
      <c r="P115" s="131"/>
      <c r="Q115" s="131"/>
      <c r="R115" s="131"/>
      <c r="S115" s="131"/>
      <c r="T115" s="76"/>
      <c r="U115" s="76"/>
    </row>
    <row r="116" spans="1:93">
      <c r="A116" s="576"/>
      <c r="B116" s="576"/>
      <c r="C116" s="581"/>
      <c r="D116" s="123"/>
      <c r="E116" s="136" t="s">
        <v>212</v>
      </c>
      <c r="F116" s="132" t="s">
        <v>101</v>
      </c>
      <c r="G116" s="133">
        <v>6.9444444444444397E-3</v>
      </c>
      <c r="H116" s="76"/>
      <c r="I116" s="127"/>
      <c r="J116" s="128"/>
      <c r="K116" s="129"/>
      <c r="L116" s="130"/>
      <c r="M116" s="130"/>
      <c r="N116" s="131"/>
      <c r="O116" s="131"/>
      <c r="P116" s="131"/>
      <c r="Q116" s="131"/>
      <c r="R116" s="131"/>
      <c r="S116" s="131"/>
      <c r="T116" s="76"/>
      <c r="U116" s="76"/>
    </row>
    <row r="117" spans="1:93" ht="15" customHeight="1">
      <c r="A117" s="576"/>
      <c r="B117" s="576"/>
      <c r="C117" s="582" t="s">
        <v>213</v>
      </c>
      <c r="D117" s="123" t="s">
        <v>47</v>
      </c>
      <c r="E117" s="124" t="s">
        <v>214</v>
      </c>
      <c r="F117" s="132" t="s">
        <v>95</v>
      </c>
      <c r="G117" s="133">
        <v>3.125E-2</v>
      </c>
      <c r="H117" s="76"/>
      <c r="I117" s="127"/>
      <c r="J117" s="128"/>
      <c r="K117" s="129"/>
      <c r="L117" s="128"/>
      <c r="M117" s="130"/>
      <c r="N117" s="131"/>
      <c r="O117" s="131"/>
      <c r="P117" s="131"/>
      <c r="Q117" s="131"/>
      <c r="R117" s="131"/>
      <c r="S117" s="131"/>
      <c r="T117" s="76"/>
      <c r="U117" s="76"/>
    </row>
    <row r="118" spans="1:93" ht="15" customHeight="1">
      <c r="A118" s="576"/>
      <c r="B118" s="576"/>
      <c r="C118" s="582"/>
      <c r="D118" s="123" t="s">
        <v>47</v>
      </c>
      <c r="E118" s="137" t="s">
        <v>215</v>
      </c>
      <c r="F118" s="132" t="s">
        <v>95</v>
      </c>
      <c r="G118" s="133">
        <v>4.1666666666666699E-2</v>
      </c>
      <c r="H118" s="76"/>
      <c r="I118" s="127"/>
      <c r="J118" s="128"/>
      <c r="K118" s="129"/>
      <c r="L118" s="128"/>
      <c r="M118" s="130"/>
      <c r="N118" s="131"/>
      <c r="O118" s="131"/>
      <c r="P118" s="131"/>
      <c r="Q118" s="131"/>
      <c r="R118" s="131"/>
      <c r="S118" s="131"/>
      <c r="T118" s="76"/>
      <c r="U118" s="76"/>
    </row>
    <row r="119" spans="1:93">
      <c r="A119" s="576"/>
      <c r="B119" s="576"/>
      <c r="C119" s="582"/>
      <c r="D119" s="123" t="s">
        <v>47</v>
      </c>
      <c r="E119" s="137" t="s">
        <v>216</v>
      </c>
      <c r="F119" s="138" t="s">
        <v>95</v>
      </c>
      <c r="G119" s="133">
        <v>0.104166666666667</v>
      </c>
      <c r="H119" s="76"/>
      <c r="I119" s="127"/>
      <c r="J119" s="128"/>
      <c r="K119" s="129"/>
      <c r="L119" s="128"/>
      <c r="M119" s="130"/>
      <c r="N119" s="131"/>
      <c r="O119" s="131"/>
      <c r="P119" s="131"/>
      <c r="Q119" s="131"/>
      <c r="R119" s="131"/>
      <c r="S119" s="131"/>
      <c r="T119" s="76"/>
      <c r="U119" s="76"/>
    </row>
    <row r="120" spans="1:93">
      <c r="A120" s="576"/>
      <c r="B120" s="576"/>
      <c r="C120" s="582"/>
      <c r="D120" s="123"/>
      <c r="E120" s="139" t="s">
        <v>217</v>
      </c>
      <c r="F120" s="140" t="s">
        <v>101</v>
      </c>
      <c r="G120" s="133">
        <v>6.25E-2</v>
      </c>
      <c r="H120" s="76"/>
      <c r="I120" s="127"/>
      <c r="J120" s="128"/>
      <c r="K120" s="129"/>
      <c r="L120" s="130"/>
      <c r="M120" s="130"/>
      <c r="N120" s="131"/>
      <c r="O120" s="131"/>
      <c r="P120" s="131"/>
      <c r="Q120" s="131"/>
      <c r="R120" s="131"/>
      <c r="S120" s="131"/>
      <c r="T120" s="76"/>
      <c r="U120" s="76"/>
    </row>
    <row r="121" spans="1:93">
      <c r="A121" s="576"/>
      <c r="B121" s="576"/>
      <c r="C121" s="582"/>
      <c r="D121" s="123"/>
      <c r="E121" s="139" t="s">
        <v>218</v>
      </c>
      <c r="F121" s="140" t="s">
        <v>101</v>
      </c>
      <c r="G121" s="133">
        <v>3.125E-2</v>
      </c>
      <c r="H121" s="76"/>
      <c r="I121" s="127"/>
      <c r="J121" s="128"/>
      <c r="K121" s="129"/>
      <c r="L121" s="128"/>
      <c r="M121" s="130"/>
      <c r="N121" s="131"/>
      <c r="O121" s="131"/>
      <c r="P121" s="131"/>
      <c r="Q121" s="131"/>
      <c r="R121" s="131"/>
      <c r="S121" s="131"/>
      <c r="T121" s="76"/>
      <c r="U121" s="76"/>
    </row>
    <row r="122" spans="1:93">
      <c r="A122" s="576"/>
      <c r="B122" s="576"/>
      <c r="C122" s="141" t="s">
        <v>219</v>
      </c>
      <c r="D122" s="123"/>
      <c r="E122" s="142" t="s">
        <v>220</v>
      </c>
      <c r="F122" s="132" t="s">
        <v>101</v>
      </c>
      <c r="G122" s="133">
        <v>3.125E-2</v>
      </c>
      <c r="H122" s="76"/>
      <c r="I122" s="127"/>
      <c r="J122" s="128"/>
      <c r="K122" s="129"/>
      <c r="L122" s="128"/>
      <c r="M122" s="130"/>
      <c r="N122" s="131"/>
      <c r="O122" s="131"/>
      <c r="P122" s="131"/>
      <c r="Q122" s="131"/>
      <c r="R122" s="131"/>
      <c r="S122" s="131"/>
      <c r="T122" s="76"/>
      <c r="U122" s="76"/>
    </row>
    <row r="123" spans="1:93" ht="15.75" customHeight="1">
      <c r="A123" s="576"/>
      <c r="B123" s="576"/>
      <c r="C123" s="583" t="s">
        <v>221</v>
      </c>
      <c r="D123" s="123" t="s">
        <v>47</v>
      </c>
      <c r="E123" s="137" t="s">
        <v>222</v>
      </c>
      <c r="F123" s="132" t="s">
        <v>95</v>
      </c>
      <c r="G123" s="133">
        <v>8.3333333333333301E-2</v>
      </c>
      <c r="H123" s="76"/>
      <c r="I123" s="127"/>
      <c r="J123" s="128"/>
      <c r="K123" s="129"/>
      <c r="L123" s="128"/>
      <c r="M123" s="130"/>
      <c r="N123" s="131"/>
      <c r="O123" s="131"/>
      <c r="P123" s="131"/>
      <c r="Q123" s="131"/>
      <c r="R123" s="131"/>
      <c r="S123" s="131"/>
      <c r="T123" s="76"/>
      <c r="U123" s="76"/>
    </row>
    <row r="124" spans="1:93" ht="15" customHeight="1">
      <c r="A124" s="576"/>
      <c r="B124" s="576"/>
      <c r="C124" s="583"/>
      <c r="D124" s="123" t="s">
        <v>47</v>
      </c>
      <c r="E124" s="143" t="s">
        <v>223</v>
      </c>
      <c r="F124" s="144" t="s">
        <v>95</v>
      </c>
      <c r="G124" s="133">
        <v>0</v>
      </c>
      <c r="H124" s="76"/>
      <c r="I124" s="127"/>
      <c r="J124" s="128"/>
      <c r="K124" s="129"/>
      <c r="L124" s="128"/>
      <c r="M124" s="130"/>
      <c r="N124" s="131"/>
      <c r="O124" s="131"/>
      <c r="P124" s="131"/>
      <c r="Q124" s="131"/>
      <c r="R124" s="131"/>
      <c r="S124" s="131"/>
      <c r="T124" s="76"/>
      <c r="U124" s="76"/>
    </row>
    <row r="125" spans="1:93" ht="16.5" customHeight="1">
      <c r="A125" s="576"/>
      <c r="B125" s="576"/>
      <c r="C125" s="583"/>
      <c r="D125" s="123" t="s">
        <v>47</v>
      </c>
      <c r="E125" s="145" t="s">
        <v>224</v>
      </c>
      <c r="F125" s="132" t="s">
        <v>95</v>
      </c>
      <c r="G125" s="133">
        <v>8.3333333333333301E-2</v>
      </c>
      <c r="H125" s="76"/>
      <c r="I125" s="127"/>
      <c r="J125" s="128"/>
      <c r="K125" s="129"/>
      <c r="L125" s="128"/>
      <c r="M125" s="130"/>
      <c r="N125" s="131"/>
      <c r="O125" s="131"/>
      <c r="P125" s="131"/>
      <c r="Q125" s="131"/>
      <c r="R125" s="131"/>
      <c r="S125" s="131"/>
      <c r="T125" s="76"/>
      <c r="U125" s="76"/>
    </row>
    <row r="126" spans="1:93" s="154" customFormat="1" ht="24" customHeight="1">
      <c r="A126" s="146"/>
      <c r="B126" s="584" t="s">
        <v>50</v>
      </c>
      <c r="C126" s="584"/>
      <c r="D126" s="584"/>
      <c r="E126" s="147"/>
      <c r="F126" s="148"/>
      <c r="G126" s="149">
        <f>ROUNDUP(IF($A$127="x", SUMIF($D$127:$D$141,"x",$G$127:$G$141) * 24, 0),0)</f>
        <v>0</v>
      </c>
      <c r="H126" s="150"/>
      <c r="I126" s="149">
        <f>ROUNDUP(IF(AND($A$127="x",$A$101&lt;&gt;"x"),SUMIF($D$127:$D$141,"x",$I$127:$I$141)*24,0),0)</f>
        <v>0</v>
      </c>
      <c r="J126" s="151"/>
      <c r="K126" s="152">
        <f>IF(AND(D109="x",A101="x"),IF(AND(A127="x",D138="x"),L138*24 + IF(Resumo!C7 = "SIM",L138*24*0.3,0),0),IF(AND(A127="x",D138="x"),(L134+L138)*24 + IF(Resumo!C7 = "SIM",(L134+L138)*24*0.3,0),0))</f>
        <v>0</v>
      </c>
      <c r="L126" s="153">
        <f>IF(A127="x",SUM(L127:L141)*24 + IF(Resumo!C7 = "SIM",SUM(L127:L141)*24*0.3,0), 0)</f>
        <v>0</v>
      </c>
      <c r="M126" s="153">
        <f>($G$126-$L$126)*0.1724</f>
        <v>0</v>
      </c>
      <c r="N126" s="153">
        <f>($G$126-L126)*0.2759 + IF(Resumo!$C$7 = "SIM",($G$126-L126)*0.2759*0.3,0)</f>
        <v>0</v>
      </c>
      <c r="O126" s="153">
        <f>($G$126-L126)*0.2759</f>
        <v>0</v>
      </c>
      <c r="P126" s="153">
        <f>($G$126-L126)*0.1034 + IF(Resumo!$C$7 = "SIM",($G$126-L126)*0.1034*0.3,0)</f>
        <v>0</v>
      </c>
      <c r="Q126" s="153">
        <f>(($G$126-L126)*0.1724)*Resumo!P9</f>
        <v>0</v>
      </c>
      <c r="R126" s="153">
        <f>$G$126*0</f>
        <v>0</v>
      </c>
      <c r="S126" s="153">
        <v>0</v>
      </c>
      <c r="T126" s="76"/>
      <c r="U126" s="76"/>
      <c r="V126" s="89"/>
      <c r="W126" s="89"/>
      <c r="X126" s="89"/>
      <c r="Y126" s="89">
        <f>SUM(Q126:X126)</f>
        <v>0</v>
      </c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61"/>
      <c r="CK126" s="61"/>
      <c r="CL126" s="61"/>
      <c r="CM126" s="61"/>
      <c r="CN126" s="61"/>
      <c r="CO126" s="61"/>
    </row>
    <row r="127" spans="1:93">
      <c r="A127" s="543" t="str">
        <f>IF(Resumo!A17="x",Resumo!A17,"")</f>
        <v/>
      </c>
      <c r="B127" s="544"/>
      <c r="C127" s="545"/>
      <c r="D127" s="155" t="s">
        <v>47</v>
      </c>
      <c r="E127" s="156" t="s">
        <v>225</v>
      </c>
      <c r="F127" s="157" t="s">
        <v>95</v>
      </c>
      <c r="G127" s="158">
        <v>4.1666666666666699E-2</v>
      </c>
      <c r="H127" s="76"/>
      <c r="I127" s="159"/>
      <c r="J127" s="160"/>
      <c r="K127" s="161"/>
      <c r="L127" s="160"/>
      <c r="M127" s="162"/>
      <c r="N127" s="163"/>
      <c r="O127" s="163"/>
      <c r="P127" s="163"/>
      <c r="Q127" s="163"/>
      <c r="R127" s="163"/>
      <c r="S127" s="163"/>
      <c r="T127" s="76"/>
      <c r="U127" s="76"/>
    </row>
    <row r="128" spans="1:93">
      <c r="A128" s="543"/>
      <c r="B128" s="544"/>
      <c r="C128" s="545"/>
      <c r="D128" s="155" t="s">
        <v>47</v>
      </c>
      <c r="E128" s="156" t="s">
        <v>226</v>
      </c>
      <c r="F128" s="157" t="s">
        <v>95</v>
      </c>
      <c r="G128" s="158">
        <v>4.1666666666666699E-2</v>
      </c>
      <c r="H128" s="76"/>
      <c r="I128" s="159"/>
      <c r="J128" s="160"/>
      <c r="K128" s="161"/>
      <c r="L128" s="160"/>
      <c r="M128" s="162"/>
      <c r="N128" s="163"/>
      <c r="O128" s="163"/>
      <c r="P128" s="163"/>
      <c r="Q128" s="163"/>
      <c r="R128" s="163"/>
      <c r="S128" s="163"/>
      <c r="T128" s="76"/>
      <c r="U128" s="76"/>
    </row>
    <row r="129" spans="1:25" ht="15.75" customHeight="1">
      <c r="A129" s="543"/>
      <c r="B129" s="544"/>
      <c r="C129" s="546" t="s">
        <v>227</v>
      </c>
      <c r="D129" s="155" t="s">
        <v>47</v>
      </c>
      <c r="E129" s="156" t="s">
        <v>228</v>
      </c>
      <c r="F129" s="164" t="s">
        <v>95</v>
      </c>
      <c r="G129" s="158">
        <v>6.25E-2</v>
      </c>
      <c r="H129" s="76"/>
      <c r="I129" s="159"/>
      <c r="J129" s="160"/>
      <c r="K129" s="161"/>
      <c r="L129" s="160"/>
      <c r="M129" s="162"/>
      <c r="N129" s="163"/>
      <c r="O129" s="163"/>
      <c r="P129" s="163"/>
      <c r="Q129" s="163"/>
      <c r="R129" s="163"/>
      <c r="S129" s="163"/>
      <c r="T129" s="76"/>
      <c r="U129" s="76"/>
    </row>
    <row r="130" spans="1:25">
      <c r="A130" s="543"/>
      <c r="B130" s="544"/>
      <c r="C130" s="546"/>
      <c r="D130" s="155" t="s">
        <v>47</v>
      </c>
      <c r="E130" s="156" t="s">
        <v>229</v>
      </c>
      <c r="F130" s="164" t="s">
        <v>101</v>
      </c>
      <c r="G130" s="158">
        <v>4.1666666666666699E-2</v>
      </c>
      <c r="H130" s="76"/>
      <c r="I130" s="159"/>
      <c r="J130" s="160"/>
      <c r="K130" s="161"/>
      <c r="L130" s="160"/>
      <c r="M130" s="162"/>
      <c r="N130" s="163"/>
      <c r="O130" s="163"/>
      <c r="P130" s="163"/>
      <c r="Q130" s="163"/>
      <c r="R130" s="163"/>
      <c r="S130" s="163"/>
      <c r="T130" s="76"/>
      <c r="U130" s="76"/>
    </row>
    <row r="131" spans="1:25">
      <c r="A131" s="543"/>
      <c r="B131" s="544"/>
      <c r="C131" s="546"/>
      <c r="D131" s="155" t="s">
        <v>47</v>
      </c>
      <c r="E131" s="156" t="s">
        <v>230</v>
      </c>
      <c r="F131" s="164" t="s">
        <v>101</v>
      </c>
      <c r="G131" s="158">
        <v>4.1666666666666699E-2</v>
      </c>
      <c r="H131" s="76"/>
      <c r="I131" s="159"/>
      <c r="J131" s="160"/>
      <c r="K131" s="161"/>
      <c r="L131" s="160"/>
      <c r="M131" s="162"/>
      <c r="N131" s="163"/>
      <c r="O131" s="163"/>
      <c r="P131" s="163"/>
      <c r="Q131" s="163"/>
      <c r="R131" s="163"/>
      <c r="S131" s="163"/>
      <c r="T131" s="76"/>
      <c r="U131" s="76"/>
    </row>
    <row r="132" spans="1:25" ht="15.75" customHeight="1">
      <c r="A132" s="543"/>
      <c r="B132" s="544"/>
      <c r="C132" s="547" t="s">
        <v>231</v>
      </c>
      <c r="D132" s="155" t="s">
        <v>47</v>
      </c>
      <c r="E132" s="156" t="s">
        <v>232</v>
      </c>
      <c r="F132" s="157" t="s">
        <v>95</v>
      </c>
      <c r="G132" s="158">
        <v>4.1666666666666699E-2</v>
      </c>
      <c r="H132" s="76"/>
      <c r="I132" s="159"/>
      <c r="J132" s="160"/>
      <c r="K132" s="161"/>
      <c r="L132" s="160"/>
      <c r="M132" s="165"/>
      <c r="N132" s="163"/>
      <c r="O132" s="163"/>
      <c r="P132" s="163"/>
      <c r="Q132" s="163"/>
      <c r="R132" s="163"/>
      <c r="S132" s="163"/>
      <c r="T132" s="76"/>
      <c r="U132" s="76"/>
    </row>
    <row r="133" spans="1:25">
      <c r="A133" s="543"/>
      <c r="B133" s="544"/>
      <c r="C133" s="547"/>
      <c r="D133" s="155" t="s">
        <v>47</v>
      </c>
      <c r="E133" s="166" t="s">
        <v>233</v>
      </c>
      <c r="F133" s="157" t="s">
        <v>101</v>
      </c>
      <c r="G133" s="158">
        <v>6.25E-2</v>
      </c>
      <c r="H133" s="76"/>
      <c r="I133" s="159"/>
      <c r="J133" s="160"/>
      <c r="K133" s="161"/>
      <c r="L133" s="160"/>
      <c r="M133" s="165"/>
      <c r="N133" s="163"/>
      <c r="O133" s="163"/>
      <c r="P133" s="163"/>
      <c r="Q133" s="163"/>
      <c r="R133" s="163"/>
      <c r="S133" s="163"/>
      <c r="T133" s="76"/>
      <c r="U133" s="76"/>
    </row>
    <row r="134" spans="1:25">
      <c r="A134" s="543"/>
      <c r="B134" s="544"/>
      <c r="C134" s="547"/>
      <c r="D134" s="155" t="s">
        <v>47</v>
      </c>
      <c r="E134" s="166" t="s">
        <v>234</v>
      </c>
      <c r="F134" s="157" t="s">
        <v>95</v>
      </c>
      <c r="G134" s="158">
        <v>4.1666666666666699E-2</v>
      </c>
      <c r="H134" s="167"/>
      <c r="I134" s="159">
        <f>IF(Resumo!$C$5="ALIARE - SOLUTION", 'Aliare Integra Solution'!$AC$24, 'Aliare Integra ERP Terceiro'!$AC$24)</f>
        <v>0</v>
      </c>
      <c r="J134" s="160" t="str">
        <f>IF(OR(Resumo!$C$5="ALIARE - AGB", Resumo!$C$5="SIMER",Resumo!$C$5="ALIARE - SOLUTION"), 'Aliare Integra Solution'!$A$24,'Aliare Integra ERP Terceiro'!$A$24)</f>
        <v>Movimentação financeira - Local nota fiscal</v>
      </c>
      <c r="K134" s="161" t="str">
        <f>IF(Resumo!$C$5="ALIARE - SOLUTION", 'Aliare Integra Solution'!$B$24,'Aliare Integra ERP Terceiro'!$B$24)</f>
        <v>3.1 Local Nota Fiscal</v>
      </c>
      <c r="L134" s="168">
        <f>IF(AND(A101="x",D109="x"), 0, IF(AND(A265="x",OR(D265="x",D266="x",D267="x")), 0, IF(OR(Resumo!$C$5="ALIARE - AGB", Resumo!$C$5="SIMER", Resumo!$C$5="ALIARE - SOLUTION"), 'Aliare Integra Solution'!AD24, 'Aliare Integra ERP Terceiro'!AD24)))</f>
        <v>0</v>
      </c>
      <c r="M134" s="165"/>
      <c r="N134" s="163"/>
      <c r="O134" s="163"/>
      <c r="P134" s="163"/>
      <c r="Q134" s="163"/>
      <c r="R134" s="163"/>
      <c r="S134" s="163"/>
      <c r="T134" s="76"/>
      <c r="U134" s="76"/>
    </row>
    <row r="135" spans="1:25" ht="15.75" customHeight="1">
      <c r="A135" s="543"/>
      <c r="B135" s="544"/>
      <c r="C135" s="548" t="s">
        <v>200</v>
      </c>
      <c r="D135" s="155" t="s">
        <v>47</v>
      </c>
      <c r="E135" s="166" t="s">
        <v>235</v>
      </c>
      <c r="F135" s="169" t="s">
        <v>101</v>
      </c>
      <c r="G135" s="158">
        <v>3.125E-2</v>
      </c>
      <c r="H135" s="76"/>
      <c r="I135" s="159"/>
      <c r="J135" s="160"/>
      <c r="K135" s="161"/>
      <c r="L135" s="160"/>
      <c r="M135" s="165"/>
      <c r="N135" s="163"/>
      <c r="O135" s="163"/>
      <c r="P135" s="163"/>
      <c r="Q135" s="163"/>
      <c r="R135" s="163"/>
      <c r="S135" s="163"/>
      <c r="T135" s="76"/>
      <c r="U135" s="76"/>
    </row>
    <row r="136" spans="1:25">
      <c r="A136" s="543"/>
      <c r="B136" s="544"/>
      <c r="C136" s="544"/>
      <c r="D136" s="155" t="s">
        <v>47</v>
      </c>
      <c r="E136" s="166" t="s">
        <v>236</v>
      </c>
      <c r="F136" s="169" t="s">
        <v>101</v>
      </c>
      <c r="G136" s="158">
        <v>3.125E-2</v>
      </c>
      <c r="H136" s="76"/>
      <c r="I136" s="159"/>
      <c r="J136" s="160"/>
      <c r="K136" s="161"/>
      <c r="L136" s="160"/>
      <c r="M136" s="165"/>
      <c r="N136" s="163"/>
      <c r="O136" s="163"/>
      <c r="P136" s="163"/>
      <c r="Q136" s="163"/>
      <c r="R136" s="163"/>
      <c r="S136" s="163"/>
      <c r="T136" s="76"/>
      <c r="U136" s="76"/>
    </row>
    <row r="137" spans="1:25">
      <c r="A137" s="543"/>
      <c r="B137" s="544"/>
      <c r="C137" s="544"/>
      <c r="D137" s="155" t="s">
        <v>47</v>
      </c>
      <c r="E137" s="166" t="s">
        <v>237</v>
      </c>
      <c r="F137" s="169" t="s">
        <v>101</v>
      </c>
      <c r="G137" s="158">
        <v>4.1666666666666699E-2</v>
      </c>
      <c r="H137" s="76"/>
      <c r="I137" s="159"/>
      <c r="J137" s="160"/>
      <c r="K137" s="161"/>
      <c r="L137" s="160"/>
      <c r="M137" s="165"/>
      <c r="N137" s="163"/>
      <c r="O137" s="163"/>
      <c r="P137" s="163"/>
      <c r="Q137" s="163"/>
      <c r="R137" s="163"/>
      <c r="S137" s="163"/>
      <c r="T137" s="76"/>
      <c r="U137" s="76"/>
    </row>
    <row r="138" spans="1:25" ht="37.5" customHeight="1">
      <c r="A138" s="543"/>
      <c r="B138" s="544"/>
      <c r="C138" s="544"/>
      <c r="D138" s="161" t="s">
        <v>47</v>
      </c>
      <c r="E138" s="170" t="s">
        <v>238</v>
      </c>
      <c r="F138" s="169" t="s">
        <v>101</v>
      </c>
      <c r="G138" s="158">
        <f>IF(AND($D$138="x",$D$139=""),TIME(8,30,0),IF(AND($D$138="x",$D$139="x"),TIME(4,30,0),TIME(0,30,0)))</f>
        <v>0.1875</v>
      </c>
      <c r="H138" s="76"/>
      <c r="I138" s="159"/>
      <c r="J138" s="171" t="str">
        <f>IF(OR(Resumo!$C$5="ALIARE - AGB", Resumo!$C$5="SIMER",Resumo!$C$5="ALIARE - SOLUTION"), _xlfn.CONCAT('Aliare Integra Solution'!$A$25," e 2"), _xlfn.CONCAT('Aliare Integra ERP Terceiro'!$B$25," e 2"))</f>
        <v>Movimentação financeira - Faturamento mensal - Parte 1 e 2</v>
      </c>
      <c r="K138" s="171" t="str">
        <f>IF(Resumo!$C$5="ALIARE - SOLUTION", 'Aliare Integra Solution'!$B$25, 'Aliare Integra ERP Terceiro'!$B$25)</f>
        <v>3.2 Pedidos em Carteira (Fat. Mensal)</v>
      </c>
      <c r="L138" s="168">
        <f>IF(AND(A265="x",OR(D265="x",D266="x",D267="x")), 0,'Aliare Integra Solution'!G25)</f>
        <v>0.16666666666666699</v>
      </c>
      <c r="M138" s="165"/>
      <c r="N138" s="163"/>
      <c r="O138" s="163"/>
      <c r="P138" s="163"/>
      <c r="Q138" s="163"/>
      <c r="R138" s="163"/>
      <c r="S138" s="163"/>
      <c r="T138" s="76"/>
      <c r="U138" s="76"/>
    </row>
    <row r="139" spans="1:25" ht="49.5" customHeight="1">
      <c r="A139" s="543"/>
      <c r="B139" s="544"/>
      <c r="C139" s="544"/>
      <c r="D139" s="161" t="s">
        <v>47</v>
      </c>
      <c r="E139" s="170" t="s">
        <v>239</v>
      </c>
      <c r="F139" s="169" t="s">
        <v>101</v>
      </c>
      <c r="G139" s="158">
        <f>IF(AND($D$138="",$D$139="x"),TIME(8,30,0),IF(AND($D$138="x",$D$139="x"),TIME(4,30,0),TIME(0,30,0)))</f>
        <v>0.1875</v>
      </c>
      <c r="H139" s="76"/>
      <c r="I139" s="159"/>
      <c r="J139" s="171"/>
      <c r="K139" s="171"/>
      <c r="L139" s="160"/>
      <c r="M139" s="165"/>
      <c r="N139" s="163"/>
      <c r="O139" s="163"/>
      <c r="P139" s="163"/>
      <c r="Q139" s="163"/>
      <c r="R139" s="163"/>
      <c r="S139" s="163"/>
      <c r="T139" s="76"/>
      <c r="U139" s="76"/>
    </row>
    <row r="140" spans="1:25">
      <c r="A140" s="543"/>
      <c r="B140" s="544"/>
      <c r="C140" s="544"/>
      <c r="D140" s="155" t="s">
        <v>47</v>
      </c>
      <c r="E140" s="170" t="s">
        <v>240</v>
      </c>
      <c r="F140" s="169" t="s">
        <v>101</v>
      </c>
      <c r="G140" s="158">
        <v>4.1666666666666699E-2</v>
      </c>
      <c r="H140" s="76"/>
      <c r="I140" s="159"/>
      <c r="J140" s="160"/>
      <c r="K140" s="161"/>
      <c r="L140" s="160"/>
      <c r="M140" s="165"/>
      <c r="N140" s="163"/>
      <c r="O140" s="163"/>
      <c r="P140" s="163"/>
      <c r="Q140" s="163"/>
      <c r="R140" s="163"/>
      <c r="S140" s="163"/>
      <c r="T140" s="76"/>
      <c r="U140" s="76"/>
    </row>
    <row r="141" spans="1:25" ht="31.5" customHeight="1">
      <c r="A141" s="543"/>
      <c r="B141" s="544"/>
      <c r="C141" s="548"/>
      <c r="D141" s="161" t="s">
        <v>47</v>
      </c>
      <c r="E141" s="170" t="s">
        <v>241</v>
      </c>
      <c r="F141" s="169" t="s">
        <v>101</v>
      </c>
      <c r="G141" s="158">
        <v>4.1666666666666699E-2</v>
      </c>
      <c r="H141" s="76"/>
      <c r="I141" s="159"/>
      <c r="J141" s="160"/>
      <c r="K141" s="161"/>
      <c r="L141" s="160"/>
      <c r="M141" s="165"/>
      <c r="N141" s="163"/>
      <c r="O141" s="163"/>
      <c r="P141" s="163"/>
      <c r="Q141" s="163"/>
      <c r="R141" s="163"/>
      <c r="S141" s="163"/>
      <c r="T141" s="76"/>
      <c r="U141" s="76"/>
    </row>
    <row r="142" spans="1:25" ht="26.25" customHeight="1">
      <c r="A142" s="172"/>
      <c r="B142" s="549" t="s">
        <v>56</v>
      </c>
      <c r="C142" s="549"/>
      <c r="D142" s="549"/>
      <c r="E142" s="173"/>
      <c r="F142" s="174"/>
      <c r="G142" s="84">
        <f>ROUNDUP(IF($A$143="x", SUMIF($D$143:$D$192,"x",$G$143:$G$192) * 24, 0),0)</f>
        <v>45</v>
      </c>
      <c r="H142" s="175"/>
      <c r="I142" s="176">
        <f>ROUNDUP(IF($A$143="x",(SUMIF($D$145,"x",I145)+SUMIF($D$146,"x",I154)+SUMIF($D$168,"x",I168))*24,0),0)</f>
        <v>14</v>
      </c>
      <c r="J142" s="177"/>
      <c r="K142" s="177"/>
      <c r="L142" s="88">
        <f>$G$142*0.2662 + IF(Resumo!$C$7 = "SIM",($G$142)*0.2662*0.3,0)</f>
        <v>11.978999999999999</v>
      </c>
      <c r="M142" s="88">
        <f>$G$142*0.1331</f>
        <v>5.9894999999999996</v>
      </c>
      <c r="N142" s="88">
        <f>$G$142*0.2662 + IF(Resumo!$C$7 = "SIM",$G$142*0.2662*0.3,0)</f>
        <v>11.978999999999999</v>
      </c>
      <c r="O142" s="88">
        <f>$G$142*0.1997</f>
        <v>8.9864999999999995</v>
      </c>
      <c r="P142" s="88">
        <f>$G$142*0.068 + IF(Resumo!$C$7 = "SIM",$G$142*0.068*0.3,0)</f>
        <v>3.06</v>
      </c>
      <c r="Q142" s="88">
        <f>($G$142*0.0666)*Resumo!P9</f>
        <v>2.9970000000000003</v>
      </c>
      <c r="R142" s="88">
        <f>$G$126*0</f>
        <v>0</v>
      </c>
      <c r="S142" s="88">
        <v>0</v>
      </c>
      <c r="T142" s="76"/>
      <c r="U142" s="76"/>
      <c r="V142" s="89"/>
      <c r="W142" s="89"/>
      <c r="X142" s="89"/>
      <c r="Y142" s="90">
        <f>SUM(Q142:X142)</f>
        <v>2.9970000000000003</v>
      </c>
    </row>
    <row r="143" spans="1:25" ht="15.75" customHeight="1">
      <c r="A143" s="550" t="str">
        <f>IF(Resumo!A23="x",Resumo!A23,"")</f>
        <v>x</v>
      </c>
      <c r="B143" s="540"/>
      <c r="C143" s="552" t="s">
        <v>242</v>
      </c>
      <c r="D143" s="560" t="s">
        <v>47</v>
      </c>
      <c r="E143" s="178" t="s">
        <v>243</v>
      </c>
      <c r="F143" s="179" t="s">
        <v>95</v>
      </c>
      <c r="G143" s="566">
        <v>0.125</v>
      </c>
      <c r="H143" s="76"/>
      <c r="I143" s="2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76"/>
      <c r="U143" s="76"/>
    </row>
    <row r="144" spans="1:25">
      <c r="A144" s="550"/>
      <c r="B144" s="540"/>
      <c r="C144" s="552"/>
      <c r="D144" s="541"/>
      <c r="E144" s="178" t="s">
        <v>244</v>
      </c>
      <c r="F144" s="179" t="s">
        <v>95</v>
      </c>
      <c r="G144" s="567"/>
      <c r="H144" s="76"/>
      <c r="I144" s="2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76"/>
      <c r="U144" s="76"/>
    </row>
    <row r="145" spans="1:21" ht="15" customHeight="1">
      <c r="A145" s="550"/>
      <c r="B145" s="540"/>
      <c r="C145" s="553" t="s">
        <v>245</v>
      </c>
      <c r="D145" s="483" t="s">
        <v>47</v>
      </c>
      <c r="E145" s="109" t="s">
        <v>246</v>
      </c>
      <c r="F145" s="110" t="s">
        <v>95</v>
      </c>
      <c r="G145" s="530">
        <v>0.41666666666666702</v>
      </c>
      <c r="H145" s="76"/>
      <c r="I145" s="2">
        <f>IF(Resumo!$C$5="ALIARE - SOLUTION", 'Aliare Integra Solution'!$AC$66, 'Aliare Integra ERP Terceiro'!$AC$66)</f>
        <v>0.10416666666666667</v>
      </c>
      <c r="J145" s="182" t="str">
        <f>IF(OR(Resumo!$C$5="ALIARE - AGB", Resumo!$C$5="SIMER",Resumo!$C$5="ALIARE - SOLUTION"), 'Aliare Integra Solution'!$A$66,'Aliare Integra ERP Terceiro'!$A$66)</f>
        <v>Lançamento de pedido no AGB</v>
      </c>
      <c r="K145" s="1"/>
      <c r="L145" s="99"/>
      <c r="M145" s="104"/>
      <c r="N145" s="180"/>
      <c r="O145" s="180"/>
      <c r="P145" s="180"/>
      <c r="Q145" s="180"/>
      <c r="R145" s="180"/>
      <c r="S145" s="180"/>
      <c r="T145" s="76"/>
      <c r="U145" s="76"/>
    </row>
    <row r="146" spans="1:21" ht="15" customHeight="1">
      <c r="A146" s="550"/>
      <c r="B146" s="540"/>
      <c r="C146" s="540"/>
      <c r="D146" s="541" t="s">
        <v>47</v>
      </c>
      <c r="E146" s="109" t="s">
        <v>247</v>
      </c>
      <c r="F146" s="110" t="s">
        <v>95</v>
      </c>
      <c r="G146" s="530"/>
      <c r="H146" s="76"/>
      <c r="I146" s="2"/>
      <c r="J146" s="180"/>
      <c r="K146" s="1" t="str">
        <f>IF(Resumo!$C$5="ALIARE - SOLUTION", 'Aliare Integra Solution'!$B$66, 'Aliare Integra ERP Terceiro'!$B$66)</f>
        <v>4.0 Exportação de pedido</v>
      </c>
      <c r="L146" s="99"/>
      <c r="M146" s="104"/>
      <c r="N146" s="180"/>
      <c r="O146" s="180"/>
      <c r="P146" s="180"/>
      <c r="Q146" s="180"/>
      <c r="R146" s="180"/>
      <c r="S146" s="180"/>
      <c r="T146" s="76"/>
      <c r="U146" s="76"/>
    </row>
    <row r="147" spans="1:21" ht="15" customHeight="1">
      <c r="A147" s="550"/>
      <c r="B147" s="540"/>
      <c r="C147" s="540"/>
      <c r="D147" s="541"/>
      <c r="E147" s="109" t="s">
        <v>245</v>
      </c>
      <c r="F147" s="110" t="s">
        <v>95</v>
      </c>
      <c r="G147" s="530"/>
      <c r="H147" s="76"/>
      <c r="I147" s="2"/>
      <c r="J147" s="99"/>
      <c r="K147" s="1"/>
      <c r="L147" s="99"/>
      <c r="M147" s="104"/>
      <c r="N147" s="180"/>
      <c r="O147" s="180"/>
      <c r="P147" s="180"/>
      <c r="Q147" s="180"/>
      <c r="R147" s="180"/>
      <c r="S147" s="180"/>
      <c r="T147" s="76"/>
      <c r="U147" s="76"/>
    </row>
    <row r="148" spans="1:21" ht="15" customHeight="1">
      <c r="A148" s="550"/>
      <c r="B148" s="540"/>
      <c r="C148" s="540"/>
      <c r="D148" s="541"/>
      <c r="E148" s="109" t="s">
        <v>248</v>
      </c>
      <c r="F148" s="110" t="s">
        <v>101</v>
      </c>
      <c r="G148" s="530"/>
      <c r="H148" s="76"/>
      <c r="I148" s="2"/>
      <c r="J148" s="99"/>
      <c r="K148" s="1"/>
      <c r="L148" s="99"/>
      <c r="M148" s="104"/>
      <c r="N148" s="180"/>
      <c r="O148" s="180"/>
      <c r="P148" s="180"/>
      <c r="Q148" s="180"/>
      <c r="R148" s="180"/>
      <c r="S148" s="180"/>
      <c r="T148" s="76"/>
      <c r="U148" s="76"/>
    </row>
    <row r="149" spans="1:21" ht="46.5" customHeight="1">
      <c r="A149" s="550"/>
      <c r="B149" s="540"/>
      <c r="C149" s="540"/>
      <c r="D149" s="541"/>
      <c r="E149" s="109" t="s">
        <v>249</v>
      </c>
      <c r="F149" s="110" t="s">
        <v>95</v>
      </c>
      <c r="G149" s="530"/>
      <c r="H149" s="76"/>
      <c r="I149" s="2"/>
      <c r="J149" s="181" t="str">
        <f>IF(OR(Resumo!$C$5="ALIARE - AGB", Resumo!$C$5="SIMER",Resumo!$C$5="ALIARE - SOLUTION"), 'Aliare Integra Solution'!$A$63,'Aliare Integra ERP Terceiro'!$A$63)</f>
        <v>Pedido - PVPedidoHistoricoSituacao, PVPedidoItemHistoricoSituacao, PVPedidoItemNotaFiscal</v>
      </c>
      <c r="K149" s="1" t="str">
        <f>IF(Resumo!$C$5="ALIARE - SOLUTION", 'Aliare Integra Solution'!$B$63, 'Aliare Integra ERP Terceiro'!$B$63)</f>
        <v>2.26 PVPedHistSituacao</v>
      </c>
      <c r="L149" s="99"/>
      <c r="M149" s="104"/>
      <c r="N149" s="180"/>
      <c r="O149" s="180"/>
      <c r="P149" s="180"/>
      <c r="Q149" s="180"/>
      <c r="R149" s="180"/>
      <c r="S149" s="180"/>
      <c r="T149" s="76"/>
      <c r="U149" s="76"/>
    </row>
    <row r="150" spans="1:21" ht="15" customHeight="1">
      <c r="A150" s="550"/>
      <c r="B150" s="540"/>
      <c r="C150" s="540"/>
      <c r="D150" s="541"/>
      <c r="E150" s="109" t="s">
        <v>250</v>
      </c>
      <c r="F150" s="110" t="s">
        <v>95</v>
      </c>
      <c r="G150" s="530"/>
      <c r="H150" s="76"/>
      <c r="I150" s="2"/>
      <c r="J150" s="99"/>
      <c r="K150" s="1"/>
      <c r="L150" s="99"/>
      <c r="M150" s="104"/>
      <c r="N150" s="180"/>
      <c r="O150" s="180"/>
      <c r="P150" s="180"/>
      <c r="Q150" s="180"/>
      <c r="R150" s="180"/>
      <c r="S150" s="180"/>
      <c r="T150" s="76"/>
      <c r="U150" s="76"/>
    </row>
    <row r="151" spans="1:21" ht="15" customHeight="1">
      <c r="A151" s="550"/>
      <c r="B151" s="540"/>
      <c r="C151" s="540"/>
      <c r="D151" s="541"/>
      <c r="E151" s="97" t="s">
        <v>251</v>
      </c>
      <c r="F151" s="110" t="s">
        <v>95</v>
      </c>
      <c r="G151" s="530"/>
      <c r="H151" s="76"/>
      <c r="I151" s="2"/>
      <c r="J151" s="181"/>
      <c r="K151" s="1"/>
      <c r="L151" s="99"/>
      <c r="M151" s="104"/>
      <c r="N151" s="180"/>
      <c r="O151" s="180"/>
      <c r="P151" s="180"/>
      <c r="Q151" s="180"/>
      <c r="R151" s="180"/>
      <c r="S151" s="180"/>
      <c r="T151" s="76"/>
      <c r="U151" s="76"/>
    </row>
    <row r="152" spans="1:21" ht="15" customHeight="1">
      <c r="A152" s="550"/>
      <c r="B152" s="540"/>
      <c r="C152" s="540"/>
      <c r="D152" s="541"/>
      <c r="E152" s="97" t="s">
        <v>252</v>
      </c>
      <c r="F152" s="110" t="s">
        <v>95</v>
      </c>
      <c r="G152" s="530"/>
      <c r="H152" s="76"/>
      <c r="I152" s="2"/>
      <c r="J152" s="181"/>
      <c r="K152" s="1"/>
      <c r="L152" s="99"/>
      <c r="M152" s="104"/>
      <c r="N152" s="180"/>
      <c r="O152" s="180"/>
      <c r="P152" s="180"/>
      <c r="Q152" s="180"/>
      <c r="R152" s="180"/>
      <c r="S152" s="180"/>
      <c r="T152" s="76"/>
      <c r="U152" s="76"/>
    </row>
    <row r="153" spans="1:21" ht="46.5" customHeight="1">
      <c r="A153" s="550"/>
      <c r="B153" s="540"/>
      <c r="C153" s="540"/>
      <c r="D153" s="541"/>
      <c r="E153" s="97" t="s">
        <v>253</v>
      </c>
      <c r="F153" s="110" t="s">
        <v>95</v>
      </c>
      <c r="G153" s="530"/>
      <c r="H153" s="76"/>
      <c r="I153" s="2"/>
      <c r="J153" s="181"/>
      <c r="K153" s="1"/>
      <c r="L153" s="99"/>
      <c r="M153" s="104"/>
      <c r="N153" s="180"/>
      <c r="O153" s="180"/>
      <c r="P153" s="180"/>
      <c r="Q153" s="180"/>
      <c r="R153" s="180"/>
      <c r="S153" s="180"/>
      <c r="T153" s="76"/>
      <c r="U153" s="76"/>
    </row>
    <row r="154" spans="1:21" ht="31.5" customHeight="1">
      <c r="A154" s="550"/>
      <c r="B154" s="540"/>
      <c r="C154" s="540"/>
      <c r="D154" s="541"/>
      <c r="E154" s="97" t="s">
        <v>233</v>
      </c>
      <c r="F154" s="110" t="s">
        <v>95</v>
      </c>
      <c r="G154" s="530"/>
      <c r="H154" s="76"/>
      <c r="I154" s="2">
        <f>IF(Resumo!$C$5="ALIARE - SOLUTION", 'Aliare Integra Solution'!$AC$69, 'Aliare Integra ERP Terceiro'!$AC$71)</f>
        <v>0.25</v>
      </c>
      <c r="J154" s="181" t="str">
        <f>IF(OR(Resumo!$C$5="ALIARE - AGB", Resumo!$C$5="SIMER",Resumo!$C$5="ALIARE - SOLUTION"), 'Aliare Integra Solution'!$A$69,'Aliare Integra ERP Terceiro'!$A$70)</f>
        <v>Força de venda - PV Tabelas de preço
Força de venda - Deleção de PVTabelaPrecoItem</v>
      </c>
      <c r="K154" s="1" t="str">
        <f>IF(Resumo!$C$5="ALIARE - SOLUTION", 'Aliare Integra Solution'!$B$71, 'Aliare Integra ERP Terceiro'!$B$73)</f>
        <v>2.4 PVTabelaPreco</v>
      </c>
      <c r="L154" s="99"/>
      <c r="M154" s="104"/>
      <c r="N154" s="180"/>
      <c r="O154" s="180"/>
      <c r="P154" s="180"/>
      <c r="Q154" s="180"/>
      <c r="R154" s="180"/>
      <c r="S154" s="180"/>
      <c r="T154" s="76"/>
      <c r="U154" s="76"/>
    </row>
    <row r="155" spans="1:21" ht="15" customHeight="1">
      <c r="A155" s="550"/>
      <c r="B155" s="540"/>
      <c r="C155" s="533"/>
      <c r="D155" s="542"/>
      <c r="E155" s="97" t="s">
        <v>254</v>
      </c>
      <c r="F155" s="110" t="s">
        <v>95</v>
      </c>
      <c r="G155" s="530"/>
      <c r="H155" s="76"/>
      <c r="I155" s="2"/>
      <c r="J155" s="181"/>
      <c r="K155" s="1"/>
      <c r="L155" s="99"/>
      <c r="M155" s="104"/>
      <c r="N155" s="180"/>
      <c r="O155" s="180"/>
      <c r="P155" s="180"/>
      <c r="Q155" s="180"/>
      <c r="R155" s="180"/>
      <c r="S155" s="180"/>
      <c r="T155" s="76"/>
      <c r="U155" s="76"/>
    </row>
    <row r="156" spans="1:21" ht="15.75" customHeight="1">
      <c r="A156" s="550"/>
      <c r="B156" s="540"/>
      <c r="C156" s="533" t="s">
        <v>255</v>
      </c>
      <c r="D156" s="560" t="s">
        <v>47</v>
      </c>
      <c r="E156" s="183" t="s">
        <v>256</v>
      </c>
      <c r="F156" s="110" t="s">
        <v>101</v>
      </c>
      <c r="G156" s="530">
        <v>0.125</v>
      </c>
      <c r="H156" s="76"/>
      <c r="I156" s="184"/>
      <c r="J156" s="99"/>
      <c r="K156" s="1"/>
      <c r="L156" s="99"/>
      <c r="M156" s="104"/>
      <c r="N156" s="96"/>
      <c r="O156" s="96"/>
      <c r="P156" s="96"/>
      <c r="Q156" s="180"/>
      <c r="R156" s="180"/>
      <c r="S156" s="180"/>
      <c r="T156" s="76"/>
      <c r="U156" s="76"/>
    </row>
    <row r="157" spans="1:21" ht="15" customHeight="1">
      <c r="A157" s="550"/>
      <c r="B157" s="540"/>
      <c r="C157" s="540"/>
      <c r="D157" s="541"/>
      <c r="E157" s="109" t="s">
        <v>257</v>
      </c>
      <c r="F157" s="110" t="s">
        <v>101</v>
      </c>
      <c r="G157" s="530"/>
      <c r="H157" s="76"/>
      <c r="I157" s="184"/>
      <c r="J157" s="99"/>
      <c r="K157" s="1"/>
      <c r="L157" s="99"/>
      <c r="M157" s="104"/>
      <c r="N157" s="96"/>
      <c r="O157" s="96"/>
      <c r="P157" s="96"/>
      <c r="Q157" s="180"/>
      <c r="R157" s="180"/>
      <c r="S157" s="180"/>
      <c r="T157" s="76"/>
      <c r="U157" s="76"/>
    </row>
    <row r="158" spans="1:21" ht="15" customHeight="1">
      <c r="A158" s="550"/>
      <c r="B158" s="540"/>
      <c r="C158" s="540"/>
      <c r="D158" s="541"/>
      <c r="E158" s="97" t="s">
        <v>258</v>
      </c>
      <c r="F158" s="110" t="s">
        <v>101</v>
      </c>
      <c r="G158" s="530"/>
      <c r="H158" s="76"/>
      <c r="I158" s="2"/>
      <c r="J158" s="99"/>
      <c r="K158" s="1"/>
      <c r="L158" s="99"/>
      <c r="M158" s="104"/>
      <c r="N158" s="96"/>
      <c r="O158" s="96"/>
      <c r="P158" s="96"/>
      <c r="Q158" s="180"/>
      <c r="R158" s="180"/>
      <c r="S158" s="180"/>
      <c r="T158" s="76"/>
      <c r="U158" s="76"/>
    </row>
    <row r="159" spans="1:21" ht="15" customHeight="1">
      <c r="A159" s="550"/>
      <c r="B159" s="540"/>
      <c r="C159" s="533"/>
      <c r="D159" s="542"/>
      <c r="E159" s="97" t="s">
        <v>259</v>
      </c>
      <c r="F159" s="110" t="s">
        <v>101</v>
      </c>
      <c r="G159" s="530"/>
      <c r="H159" s="76"/>
      <c r="I159" s="2"/>
      <c r="J159" s="99"/>
      <c r="K159" s="1"/>
      <c r="L159" s="99"/>
      <c r="M159" s="104"/>
      <c r="N159" s="96"/>
      <c r="O159" s="96"/>
      <c r="P159" s="96"/>
      <c r="Q159" s="180"/>
      <c r="R159" s="180"/>
      <c r="S159" s="180"/>
      <c r="T159" s="76"/>
      <c r="U159" s="76"/>
    </row>
    <row r="160" spans="1:21" ht="15.75" hidden="1" customHeight="1">
      <c r="A160" s="550"/>
      <c r="B160" s="540"/>
      <c r="C160" s="533" t="s">
        <v>260</v>
      </c>
      <c r="D160" s="108"/>
      <c r="E160" s="97" t="s">
        <v>261</v>
      </c>
      <c r="F160" s="110" t="s">
        <v>95</v>
      </c>
      <c r="G160" s="530">
        <v>0.5</v>
      </c>
      <c r="H160" s="76"/>
      <c r="I160" s="2"/>
      <c r="J160" s="99"/>
      <c r="K160" s="1"/>
      <c r="L160" s="99"/>
      <c r="M160" s="104"/>
      <c r="N160" s="96"/>
      <c r="O160" s="96"/>
      <c r="P160" s="96"/>
      <c r="Q160" s="180"/>
      <c r="R160" s="180"/>
      <c r="S160" s="180"/>
      <c r="T160" s="76"/>
      <c r="U160" s="76"/>
    </row>
    <row r="161" spans="1:21" hidden="1">
      <c r="A161" s="550"/>
      <c r="B161" s="540"/>
      <c r="C161" s="540"/>
      <c r="D161" s="108"/>
      <c r="E161" s="97" t="s">
        <v>262</v>
      </c>
      <c r="F161" s="110" t="s">
        <v>95</v>
      </c>
      <c r="G161" s="530"/>
      <c r="H161" s="76"/>
      <c r="I161" s="2"/>
      <c r="J161" s="99"/>
      <c r="K161" s="1"/>
      <c r="L161" s="99"/>
      <c r="M161" s="104"/>
      <c r="N161" s="96"/>
      <c r="O161" s="96"/>
      <c r="P161" s="96"/>
      <c r="Q161" s="180"/>
      <c r="R161" s="180"/>
      <c r="S161" s="180"/>
      <c r="T161" s="76"/>
      <c r="U161" s="76"/>
    </row>
    <row r="162" spans="1:21" hidden="1">
      <c r="A162" s="550"/>
      <c r="B162" s="540"/>
      <c r="C162" s="540"/>
      <c r="D162" s="108"/>
      <c r="E162" s="97" t="s">
        <v>263</v>
      </c>
      <c r="F162" s="110" t="s">
        <v>95</v>
      </c>
      <c r="G162" s="530"/>
      <c r="H162" s="76"/>
      <c r="I162" s="2"/>
      <c r="J162" s="182" t="str">
        <f>IF(OR(Resumo!$C$5="ALIARE - AGB", Resumo!$C$5="SIMER",Resumo!$C$5="ALIARE - SOLUTION"), 'Aliare Integra Solution'!$A$52,'Aliare Integra ERP Terceiro'!$A$52)</f>
        <v>Cadastro básico - Silo</v>
      </c>
      <c r="K162" s="1" t="str">
        <f>IF(Resumo!$C$5="ALIARE - SOLUTION", 'Aliare Integra Solution'!$B$52, 'Aliare Integra ERP Terceiro'!$B$52)</f>
        <v>1.37 Silo</v>
      </c>
      <c r="L162" s="99"/>
      <c r="M162" s="104"/>
      <c r="N162" s="96"/>
      <c r="O162" s="96"/>
      <c r="P162" s="96"/>
      <c r="Q162" s="180"/>
      <c r="R162" s="180"/>
      <c r="S162" s="180"/>
      <c r="T162" s="76"/>
      <c r="U162" s="76"/>
    </row>
    <row r="163" spans="1:21" hidden="1">
      <c r="A163" s="550"/>
      <c r="B163" s="540"/>
      <c r="C163" s="540"/>
      <c r="D163" s="108"/>
      <c r="E163" s="97" t="s">
        <v>264</v>
      </c>
      <c r="F163" s="110" t="s">
        <v>95</v>
      </c>
      <c r="G163" s="530"/>
      <c r="H163" s="76"/>
      <c r="I163" s="2"/>
      <c r="J163" s="182" t="str">
        <f>IF(OR(Resumo!$C$5="ALIARE - AGB", Resumo!$C$5="SIMER",Resumo!$C$5="ALIARE - SOLUTION"), 'Aliare Integra Solution'!$A$61,'Aliare Integra ERP Terceiro'!$A$61)</f>
        <v>Modalidade Recolhimento Funrural</v>
      </c>
      <c r="K163" s="1" t="str">
        <f>IF(Resumo!$C$5="ALIARE - SOLUTION", 'Aliare Integra Solution'!$B$61, 'Aliare Integra ERP Terceiro'!$B$61)</f>
        <v>2.22 Modalidade Recolhimento Funrural</v>
      </c>
      <c r="L163" s="99"/>
      <c r="M163" s="104"/>
      <c r="N163" s="96"/>
      <c r="O163" s="96"/>
      <c r="P163" s="96"/>
      <c r="Q163" s="180"/>
      <c r="R163" s="180"/>
      <c r="S163" s="180"/>
      <c r="T163" s="76"/>
      <c r="U163" s="76"/>
    </row>
    <row r="164" spans="1:21" hidden="1">
      <c r="A164" s="550"/>
      <c r="B164" s="540"/>
      <c r="C164" s="533"/>
      <c r="D164" s="108"/>
      <c r="E164" s="97" t="s">
        <v>265</v>
      </c>
      <c r="F164" s="110" t="s">
        <v>95</v>
      </c>
      <c r="G164" s="530"/>
      <c r="H164" s="76"/>
      <c r="I164" s="2"/>
      <c r="J164" s="182" t="str">
        <f>IF(OR(Resumo!$C$5="ALIARE - AGB", Resumo!$C$5="SIMER",Resumo!$C$5="ALIARE - SOLUTION"), 'Aliare Integra Solution'!$A$67,'Aliare Integra ERP Terceiro'!$A$68)</f>
        <v>Lançamento de pedido barter no AGB</v>
      </c>
      <c r="K164" s="1" t="str">
        <f>IF(Resumo!$C$5="ALIARE - SOLUTION", 'Aliare Integra Solution'!$B$67, 'Aliare Integra ERP Terceiro'!$B$68)</f>
        <v>4.1 Exportação de pedido barter</v>
      </c>
      <c r="L164" s="99"/>
      <c r="M164" s="104"/>
      <c r="N164" s="96"/>
      <c r="O164" s="96"/>
      <c r="P164" s="96"/>
      <c r="Q164" s="180"/>
      <c r="R164" s="180"/>
      <c r="S164" s="180"/>
      <c r="T164" s="76"/>
      <c r="U164" s="76"/>
    </row>
    <row r="165" spans="1:21" ht="15.75" customHeight="1">
      <c r="A165" s="550"/>
      <c r="B165" s="540"/>
      <c r="C165" s="533" t="s">
        <v>266</v>
      </c>
      <c r="D165" s="108" t="s">
        <v>47</v>
      </c>
      <c r="E165" s="97" t="s">
        <v>267</v>
      </c>
      <c r="F165" s="110" t="s">
        <v>101</v>
      </c>
      <c r="G165" s="106">
        <v>0.125</v>
      </c>
      <c r="H165" s="76"/>
      <c r="I165" s="2"/>
      <c r="J165" s="182" t="str">
        <f>IF(OR(Resumo!$C$5="ALIARE - AGB", Resumo!$C$5="SIMER",Resumo!$C$5="ALIARE - SOLUTION"), 'Aliare Integra Solution'!$A$44,'Aliare Integra ERP Terceiro'!$A$44)</f>
        <v>Cadastro básico - Estoque</v>
      </c>
      <c r="K165" s="1" t="str">
        <f>IF(Resumo!$C$5="ALIARE - SOLUTION", 'Aliare Integra Solution'!$B$44, 'Aliare Integra ERP Terceiro'!$B$44)</f>
        <v>3.4 Estoque</v>
      </c>
      <c r="L165" s="99"/>
      <c r="M165" s="104"/>
      <c r="N165" s="96"/>
      <c r="O165" s="96"/>
      <c r="P165" s="96"/>
      <c r="Q165" s="180"/>
      <c r="R165" s="180"/>
      <c r="S165" s="180"/>
      <c r="T165" s="76"/>
      <c r="U165" s="76"/>
    </row>
    <row r="166" spans="1:21">
      <c r="A166" s="550"/>
      <c r="B166" s="540"/>
      <c r="C166" s="533"/>
      <c r="D166" s="108" t="s">
        <v>47</v>
      </c>
      <c r="E166" s="97" t="s">
        <v>266</v>
      </c>
      <c r="F166" s="110" t="s">
        <v>101</v>
      </c>
      <c r="G166" s="106">
        <v>0.125</v>
      </c>
      <c r="H166" s="76"/>
      <c r="I166" s="2"/>
      <c r="J166" s="99"/>
      <c r="K166" s="1"/>
      <c r="L166" s="99"/>
      <c r="M166" s="104"/>
      <c r="N166" s="96"/>
      <c r="O166" s="96"/>
      <c r="P166" s="96"/>
      <c r="Q166" s="180"/>
      <c r="R166" s="180"/>
      <c r="S166" s="180"/>
      <c r="T166" s="76"/>
      <c r="U166" s="76"/>
    </row>
    <row r="167" spans="1:21">
      <c r="A167" s="550"/>
      <c r="B167" s="540"/>
      <c r="C167" s="185" t="s">
        <v>268</v>
      </c>
      <c r="D167" s="108" t="s">
        <v>47</v>
      </c>
      <c r="E167" s="186" t="s">
        <v>269</v>
      </c>
      <c r="F167" s="110" t="s">
        <v>101</v>
      </c>
      <c r="G167" s="106">
        <v>0.125</v>
      </c>
      <c r="H167" s="76"/>
      <c r="I167" s="2"/>
      <c r="J167" s="99" t="str">
        <f>IF(OR(Resumo!$C$5="ALIARE - AGB", Resumo!$C$5="SIMER",Resumo!$C$5="ALIARE - SOLUTION"), 'Aliare Integra Solution'!$A$62,'Aliare Integra ERP Terceiro'!$A$62)</f>
        <v>Cadastro básico - Limite de crédito parceiro</v>
      </c>
      <c r="K167" s="1" t="str">
        <f>IF(Resumo!$C$5="ALIARE - SOLUTION", 'Aliare Integra Solution'!$B$62, 'Aliare Integra ERP Terceiro'!$B$62)</f>
        <v>1.40 Limite Crédito Parceiro</v>
      </c>
      <c r="L167" s="99"/>
      <c r="M167" s="104"/>
      <c r="N167" s="96"/>
      <c r="O167" s="96"/>
      <c r="P167" s="96"/>
      <c r="Q167" s="180"/>
      <c r="R167" s="180"/>
      <c r="S167" s="180"/>
      <c r="T167" s="76"/>
      <c r="U167" s="76"/>
    </row>
    <row r="168" spans="1:21" ht="16.5">
      <c r="A168" s="550"/>
      <c r="B168" s="540"/>
      <c r="C168" s="185" t="s">
        <v>270</v>
      </c>
      <c r="D168" s="108" t="s">
        <v>47</v>
      </c>
      <c r="E168" s="186" t="s">
        <v>271</v>
      </c>
      <c r="F168" s="110" t="s">
        <v>101</v>
      </c>
      <c r="G168" s="106">
        <v>8.3333333333333301E-2</v>
      </c>
      <c r="H168" s="76"/>
      <c r="I168" s="2">
        <f>IF(Resumo!$C$5="ALIARE - SOLUTION", 'Aliare Integra Solution'!$AC$59, 'Aliare Integra ERP Terceiro'!$AC$59)</f>
        <v>0.20833333333333301</v>
      </c>
      <c r="J168" s="99" t="str">
        <f>IF(OR(Resumo!$C$5="ALIARE - AGB", Resumo!$C$5="SIMER",Resumo!$C$5="ALIARE - SOLUTION"), 'Aliare Integra Solution'!$A$59,'Aliare Integra ERP Terceiro'!$A$59)</f>
        <v>Movimentação financeira - Títulos</v>
      </c>
      <c r="K168" s="1" t="str">
        <f>IF(Resumo!$C$5="ALIARE - SOLUTION", 'Aliare Integra Solution'!$B$59, 'Aliare Integra ERP Terceiro'!$B$59)</f>
        <v>3.7 Títulos</v>
      </c>
      <c r="L168" s="99"/>
      <c r="M168" s="104"/>
      <c r="N168" s="96"/>
      <c r="O168" s="96"/>
      <c r="P168" s="96"/>
      <c r="Q168" s="180"/>
      <c r="R168" s="180"/>
      <c r="S168" s="180"/>
      <c r="T168" s="76"/>
      <c r="U168" s="76"/>
    </row>
    <row r="169" spans="1:21" ht="15.75" customHeight="1">
      <c r="A169" s="550"/>
      <c r="B169" s="540"/>
      <c r="C169" s="480" t="s">
        <v>272</v>
      </c>
      <c r="D169" s="108" t="s">
        <v>47</v>
      </c>
      <c r="E169" s="97" t="s">
        <v>273</v>
      </c>
      <c r="F169" s="110" t="s">
        <v>101</v>
      </c>
      <c r="G169" s="111">
        <v>4.1666666666666699E-2</v>
      </c>
      <c r="H169" s="76"/>
      <c r="I169" s="2"/>
      <c r="J169" s="99"/>
      <c r="K169" s="1"/>
      <c r="L169" s="99"/>
      <c r="M169" s="104"/>
      <c r="N169" s="96"/>
      <c r="O169" s="96"/>
      <c r="P169" s="96"/>
      <c r="Q169" s="180"/>
      <c r="R169" s="180"/>
      <c r="S169" s="180"/>
      <c r="T169" s="76"/>
      <c r="U169" s="76"/>
    </row>
    <row r="170" spans="1:21" ht="15.75" customHeight="1">
      <c r="A170" s="550"/>
      <c r="B170" s="540"/>
      <c r="C170" s="568" t="s">
        <v>274</v>
      </c>
      <c r="D170" s="108" t="s">
        <v>47</v>
      </c>
      <c r="E170" s="97" t="s">
        <v>275</v>
      </c>
      <c r="F170" s="110" t="s">
        <v>101</v>
      </c>
      <c r="G170" s="111">
        <v>3.125E-2</v>
      </c>
      <c r="H170" s="76"/>
      <c r="I170" s="2"/>
      <c r="J170" s="99"/>
      <c r="K170" s="1"/>
      <c r="L170" s="99"/>
      <c r="M170" s="104"/>
      <c r="N170" s="96"/>
      <c r="O170" s="96"/>
      <c r="P170" s="96"/>
      <c r="Q170" s="180"/>
      <c r="R170" s="180"/>
      <c r="S170" s="180"/>
      <c r="T170" s="76"/>
      <c r="U170" s="76"/>
    </row>
    <row r="171" spans="1:21" ht="15.75" customHeight="1">
      <c r="A171" s="550"/>
      <c r="B171" s="540"/>
      <c r="C171" s="569"/>
      <c r="D171" s="108" t="s">
        <v>47</v>
      </c>
      <c r="E171" s="97" t="s">
        <v>276</v>
      </c>
      <c r="F171" s="110" t="s">
        <v>101</v>
      </c>
      <c r="G171" s="111">
        <v>3.125E-2</v>
      </c>
      <c r="H171" s="76"/>
      <c r="I171" s="2"/>
      <c r="J171" s="99"/>
      <c r="K171" s="1"/>
      <c r="L171" s="99"/>
      <c r="M171" s="104"/>
      <c r="N171" s="96"/>
      <c r="O171" s="96"/>
      <c r="P171" s="96"/>
      <c r="Q171" s="180"/>
      <c r="R171" s="180"/>
      <c r="S171" s="180"/>
      <c r="T171" s="76"/>
      <c r="U171" s="76"/>
    </row>
    <row r="172" spans="1:21" ht="15.75" customHeight="1">
      <c r="A172" s="550"/>
      <c r="B172" s="540"/>
      <c r="C172" s="479" t="s">
        <v>277</v>
      </c>
      <c r="D172" s="108" t="s">
        <v>47</v>
      </c>
      <c r="E172" s="97" t="s">
        <v>278</v>
      </c>
      <c r="F172" s="110" t="s">
        <v>101</v>
      </c>
      <c r="G172" s="111">
        <v>6.25E-2</v>
      </c>
      <c r="H172" s="76"/>
      <c r="I172" s="2"/>
      <c r="J172" s="99"/>
      <c r="K172" s="1"/>
      <c r="L172" s="99"/>
      <c r="M172" s="104"/>
      <c r="N172" s="96"/>
      <c r="O172" s="96"/>
      <c r="P172" s="96"/>
      <c r="Q172" s="180"/>
      <c r="R172" s="180"/>
      <c r="S172" s="180"/>
      <c r="T172" s="76"/>
      <c r="U172" s="76"/>
    </row>
    <row r="173" spans="1:21">
      <c r="A173" s="550"/>
      <c r="B173" s="540"/>
      <c r="C173" s="480" t="s">
        <v>279</v>
      </c>
      <c r="D173" s="108" t="s">
        <v>47</v>
      </c>
      <c r="E173" s="97" t="s">
        <v>280</v>
      </c>
      <c r="F173" s="110" t="s">
        <v>101</v>
      </c>
      <c r="G173" s="111">
        <v>4.1666666666666699E-2</v>
      </c>
      <c r="H173" s="76"/>
      <c r="I173" s="2"/>
      <c r="J173" s="99"/>
      <c r="K173" s="1"/>
      <c r="L173" s="99"/>
      <c r="M173" s="104"/>
      <c r="N173" s="96"/>
      <c r="O173" s="96"/>
      <c r="P173" s="96"/>
      <c r="Q173" s="180"/>
      <c r="R173" s="180"/>
      <c r="S173" s="180"/>
      <c r="T173" s="76"/>
      <c r="U173" s="76"/>
    </row>
    <row r="174" spans="1:21" ht="15" customHeight="1">
      <c r="A174" s="550"/>
      <c r="B174" s="540"/>
      <c r="C174" s="533" t="s">
        <v>281</v>
      </c>
      <c r="D174" s="108" t="s">
        <v>47</v>
      </c>
      <c r="E174" s="97" t="s">
        <v>282</v>
      </c>
      <c r="F174" s="110" t="s">
        <v>101</v>
      </c>
      <c r="G174" s="530">
        <v>4.1666666666666699E-2</v>
      </c>
      <c r="H174" s="76"/>
      <c r="I174" s="2"/>
      <c r="J174" s="99"/>
      <c r="K174" s="1"/>
      <c r="L174" s="99"/>
      <c r="M174" s="104"/>
      <c r="N174" s="96"/>
      <c r="O174" s="96"/>
      <c r="P174" s="96"/>
      <c r="Q174" s="180"/>
      <c r="R174" s="180"/>
      <c r="S174" s="180"/>
      <c r="T174" s="76"/>
      <c r="U174" s="76"/>
    </row>
    <row r="175" spans="1:21" ht="15" customHeight="1">
      <c r="A175" s="550"/>
      <c r="B175" s="540"/>
      <c r="C175" s="533"/>
      <c r="D175" s="108" t="s">
        <v>47</v>
      </c>
      <c r="E175" s="97" t="s">
        <v>281</v>
      </c>
      <c r="F175" s="110" t="s">
        <v>101</v>
      </c>
      <c r="G175" s="530"/>
      <c r="H175" s="76"/>
      <c r="I175" s="2"/>
      <c r="J175" s="99"/>
      <c r="K175" s="1"/>
      <c r="L175" s="99"/>
      <c r="M175" s="104"/>
      <c r="N175" s="96"/>
      <c r="O175" s="96"/>
      <c r="P175" s="96"/>
      <c r="Q175" s="180"/>
      <c r="R175" s="180"/>
      <c r="S175" s="180"/>
      <c r="T175" s="76"/>
      <c r="U175" s="76"/>
    </row>
    <row r="176" spans="1:21" ht="15.75" customHeight="1">
      <c r="A176" s="550"/>
      <c r="B176" s="540"/>
      <c r="C176" s="533" t="s">
        <v>283</v>
      </c>
      <c r="D176" s="108" t="s">
        <v>47</v>
      </c>
      <c r="E176" s="97" t="s">
        <v>284</v>
      </c>
      <c r="F176" s="110" t="s">
        <v>101</v>
      </c>
      <c r="G176" s="111">
        <v>3.125E-2</v>
      </c>
      <c r="H176" s="76"/>
      <c r="I176" s="2"/>
      <c r="J176" s="99"/>
      <c r="K176" s="1"/>
      <c r="L176" s="99"/>
      <c r="M176" s="104"/>
      <c r="N176" s="96"/>
      <c r="O176" s="96"/>
      <c r="P176" s="96"/>
      <c r="Q176" s="180"/>
      <c r="R176" s="180"/>
      <c r="S176" s="180"/>
      <c r="T176" s="76"/>
      <c r="U176" s="76"/>
    </row>
    <row r="177" spans="1:21">
      <c r="A177" s="550"/>
      <c r="B177" s="540"/>
      <c r="C177" s="533"/>
      <c r="D177" s="108" t="s">
        <v>47</v>
      </c>
      <c r="E177" s="97" t="s">
        <v>285</v>
      </c>
      <c r="F177" s="110" t="s">
        <v>101</v>
      </c>
      <c r="G177" s="111">
        <v>3.125E-2</v>
      </c>
      <c r="H177" s="76"/>
      <c r="I177" s="2"/>
      <c r="J177" s="99"/>
      <c r="K177" s="1"/>
      <c r="L177" s="99"/>
      <c r="M177" s="104"/>
      <c r="N177" s="96"/>
      <c r="O177" s="96"/>
      <c r="P177" s="96"/>
      <c r="Q177" s="180"/>
      <c r="R177" s="180"/>
      <c r="S177" s="180"/>
      <c r="T177" s="76"/>
      <c r="U177" s="76"/>
    </row>
    <row r="178" spans="1:21">
      <c r="A178" s="550"/>
      <c r="B178" s="540"/>
      <c r="C178" s="532"/>
      <c r="D178" s="108" t="s">
        <v>47</v>
      </c>
      <c r="E178" s="97" t="s">
        <v>286</v>
      </c>
      <c r="F178" s="110" t="s">
        <v>101</v>
      </c>
      <c r="G178" s="111">
        <v>6.25E-2</v>
      </c>
      <c r="H178" s="76"/>
      <c r="I178" s="2"/>
      <c r="J178" s="99"/>
      <c r="K178" s="1"/>
      <c r="L178" s="99"/>
      <c r="M178" s="104"/>
      <c r="N178" s="96"/>
      <c r="O178" s="96"/>
      <c r="P178" s="96"/>
      <c r="Q178" s="180"/>
      <c r="R178" s="180"/>
      <c r="S178" s="180"/>
      <c r="T178" s="76"/>
      <c r="U178" s="76"/>
    </row>
    <row r="179" spans="1:21" ht="18" customHeight="1">
      <c r="A179" s="550"/>
      <c r="B179" s="551"/>
      <c r="C179" s="554" t="s">
        <v>287</v>
      </c>
      <c r="D179" s="557" t="s">
        <v>47</v>
      </c>
      <c r="E179" s="109" t="s">
        <v>288</v>
      </c>
      <c r="F179" s="110" t="s">
        <v>101</v>
      </c>
      <c r="G179" s="530">
        <v>0.16666666666666699</v>
      </c>
      <c r="H179" s="76"/>
      <c r="I179" s="2"/>
      <c r="J179" s="99"/>
      <c r="K179" s="1"/>
      <c r="L179" s="99"/>
      <c r="M179" s="104"/>
      <c r="N179" s="96"/>
      <c r="O179" s="96"/>
      <c r="P179" s="96"/>
      <c r="Q179" s="180"/>
      <c r="R179" s="180"/>
      <c r="S179" s="180"/>
      <c r="T179" s="76"/>
      <c r="U179" s="76"/>
    </row>
    <row r="180" spans="1:21" ht="15" customHeight="1">
      <c r="A180" s="550"/>
      <c r="B180" s="551"/>
      <c r="C180" s="555"/>
      <c r="D180" s="558"/>
      <c r="E180" s="97" t="s">
        <v>289</v>
      </c>
      <c r="F180" s="110" t="s">
        <v>101</v>
      </c>
      <c r="G180" s="530"/>
      <c r="H180" s="76"/>
      <c r="I180" s="2"/>
      <c r="J180" s="99"/>
      <c r="K180" s="1"/>
      <c r="L180" s="99"/>
      <c r="M180" s="104"/>
      <c r="N180" s="96"/>
      <c r="O180" s="96"/>
      <c r="P180" s="96"/>
      <c r="Q180" s="180"/>
      <c r="R180" s="180"/>
      <c r="S180" s="180"/>
      <c r="T180" s="76"/>
      <c r="U180" s="76"/>
    </row>
    <row r="181" spans="1:21" ht="18.75" customHeight="1">
      <c r="A181" s="550"/>
      <c r="B181" s="551"/>
      <c r="C181" s="555"/>
      <c r="D181" s="558"/>
      <c r="E181" s="97" t="s">
        <v>290</v>
      </c>
      <c r="F181" s="110" t="s">
        <v>101</v>
      </c>
      <c r="G181" s="530"/>
      <c r="H181" s="76"/>
      <c r="I181" s="2"/>
      <c r="J181" s="99"/>
      <c r="K181" s="1"/>
      <c r="L181" s="99"/>
      <c r="M181" s="104"/>
      <c r="N181" s="96"/>
      <c r="O181" s="96"/>
      <c r="P181" s="96"/>
      <c r="Q181" s="180"/>
      <c r="R181" s="180"/>
      <c r="S181" s="180"/>
      <c r="T181" s="76"/>
      <c r="U181" s="76"/>
    </row>
    <row r="182" spans="1:21" ht="18.75" customHeight="1">
      <c r="A182" s="550"/>
      <c r="B182" s="551"/>
      <c r="C182" s="555"/>
      <c r="D182" s="558"/>
      <c r="E182" s="97" t="s">
        <v>291</v>
      </c>
      <c r="F182" s="110" t="s">
        <v>101</v>
      </c>
      <c r="G182" s="530"/>
      <c r="H182" s="76"/>
      <c r="I182" s="2"/>
      <c r="J182" s="99"/>
      <c r="K182" s="1"/>
      <c r="L182" s="99"/>
      <c r="M182" s="104"/>
      <c r="N182" s="96"/>
      <c r="O182" s="96"/>
      <c r="P182" s="96"/>
      <c r="Q182" s="180"/>
      <c r="R182" s="180"/>
      <c r="S182" s="180"/>
      <c r="T182" s="76"/>
      <c r="U182" s="76"/>
    </row>
    <row r="183" spans="1:21">
      <c r="A183" s="550"/>
      <c r="B183" s="551"/>
      <c r="C183" s="556"/>
      <c r="D183" s="559"/>
      <c r="E183" s="97" t="s">
        <v>292</v>
      </c>
      <c r="F183" s="110" t="s">
        <v>101</v>
      </c>
      <c r="G183" s="530"/>
      <c r="H183" s="76"/>
      <c r="I183" s="2"/>
      <c r="J183" s="99"/>
      <c r="K183" s="1"/>
      <c r="L183" s="99"/>
      <c r="M183" s="104"/>
      <c r="N183" s="96"/>
      <c r="O183" s="96"/>
      <c r="P183" s="96"/>
      <c r="Q183" s="180"/>
      <c r="R183" s="180"/>
      <c r="S183" s="180"/>
      <c r="T183" s="76"/>
      <c r="U183" s="76"/>
    </row>
    <row r="184" spans="1:21" ht="15.75" customHeight="1">
      <c r="A184" s="550"/>
      <c r="B184" s="551"/>
      <c r="C184" s="555" t="s">
        <v>293</v>
      </c>
      <c r="D184" s="570" t="s">
        <v>47</v>
      </c>
      <c r="E184" s="109" t="s">
        <v>294</v>
      </c>
      <c r="F184" s="110" t="s">
        <v>101</v>
      </c>
      <c r="G184" s="530">
        <v>6.25E-2</v>
      </c>
      <c r="H184" s="76"/>
      <c r="I184" s="2"/>
      <c r="J184" s="99"/>
      <c r="K184" s="1"/>
      <c r="L184" s="99"/>
      <c r="M184" s="104"/>
      <c r="N184" s="96"/>
      <c r="O184" s="96"/>
      <c r="P184" s="96"/>
      <c r="Q184" s="180"/>
      <c r="R184" s="180"/>
      <c r="S184" s="180"/>
      <c r="T184" s="76"/>
      <c r="U184" s="76"/>
    </row>
    <row r="185" spans="1:21" ht="15" customHeight="1">
      <c r="A185" s="550"/>
      <c r="B185" s="551"/>
      <c r="C185" s="561"/>
      <c r="D185" s="571"/>
      <c r="E185" s="97" t="s">
        <v>293</v>
      </c>
      <c r="F185" s="110" t="s">
        <v>101</v>
      </c>
      <c r="G185" s="530"/>
      <c r="H185" s="76"/>
      <c r="I185" s="2"/>
      <c r="J185" s="99"/>
      <c r="K185" s="1"/>
      <c r="L185" s="99"/>
      <c r="M185" s="104"/>
      <c r="N185" s="96"/>
      <c r="O185" s="96"/>
      <c r="P185" s="96"/>
      <c r="Q185" s="180"/>
      <c r="R185" s="180"/>
      <c r="S185" s="180"/>
      <c r="T185" s="76"/>
      <c r="U185" s="76"/>
    </row>
    <row r="186" spans="1:21" ht="15.75" customHeight="1">
      <c r="A186" s="550"/>
      <c r="B186" s="540"/>
      <c r="C186" s="531" t="s">
        <v>295</v>
      </c>
      <c r="D186" s="108"/>
      <c r="E186" s="97" t="s">
        <v>296</v>
      </c>
      <c r="F186" s="110" t="s">
        <v>101</v>
      </c>
      <c r="G186" s="111">
        <v>8.3333333333333301E-2</v>
      </c>
      <c r="H186" s="76"/>
      <c r="I186" s="2"/>
      <c r="J186" s="99"/>
      <c r="K186" s="1"/>
      <c r="L186" s="99"/>
      <c r="M186" s="104"/>
      <c r="N186" s="96"/>
      <c r="O186" s="96"/>
      <c r="P186" s="96"/>
      <c r="Q186" s="180"/>
      <c r="R186" s="180"/>
      <c r="S186" s="180"/>
      <c r="T186" s="76"/>
      <c r="U186" s="76"/>
    </row>
    <row r="187" spans="1:21">
      <c r="A187" s="550"/>
      <c r="B187" s="540"/>
      <c r="C187" s="532"/>
      <c r="D187" s="108"/>
      <c r="E187" s="97" t="s">
        <v>297</v>
      </c>
      <c r="F187" s="110" t="s">
        <v>101</v>
      </c>
      <c r="G187" s="111">
        <v>4.1666666666666699E-2</v>
      </c>
      <c r="H187" s="76"/>
      <c r="I187" s="2"/>
      <c r="J187" s="99"/>
      <c r="K187" s="1"/>
      <c r="L187" s="99"/>
      <c r="M187" s="104"/>
      <c r="N187" s="96"/>
      <c r="O187" s="96"/>
      <c r="P187" s="96"/>
      <c r="Q187" s="180"/>
      <c r="R187" s="180"/>
      <c r="S187" s="180"/>
      <c r="T187" s="76"/>
      <c r="U187" s="76"/>
    </row>
    <row r="188" spans="1:21">
      <c r="A188" s="550"/>
      <c r="B188" s="540"/>
      <c r="C188" s="532"/>
      <c r="D188" s="108" t="s">
        <v>47</v>
      </c>
      <c r="E188" s="97" t="s">
        <v>298</v>
      </c>
      <c r="F188" s="110" t="s">
        <v>101</v>
      </c>
      <c r="G188" s="111">
        <v>4.1666666666666699E-2</v>
      </c>
      <c r="H188" s="76"/>
      <c r="I188" s="2"/>
      <c r="J188" s="99"/>
      <c r="K188" s="1"/>
      <c r="L188" s="99"/>
      <c r="M188" s="104"/>
      <c r="N188" s="96"/>
      <c r="O188" s="96"/>
      <c r="P188" s="96"/>
      <c r="Q188" s="180"/>
      <c r="R188" s="180"/>
      <c r="S188" s="180"/>
      <c r="T188" s="76"/>
      <c r="U188" s="76"/>
    </row>
    <row r="189" spans="1:21">
      <c r="A189" s="550"/>
      <c r="B189" s="540"/>
      <c r="C189" s="532"/>
      <c r="D189" s="108"/>
      <c r="E189" s="97" t="s">
        <v>299</v>
      </c>
      <c r="F189" s="110" t="s">
        <v>101</v>
      </c>
      <c r="G189" s="111">
        <v>3.125E-2</v>
      </c>
      <c r="H189" s="76"/>
      <c r="I189" s="2"/>
      <c r="J189" s="99"/>
      <c r="K189" s="1"/>
      <c r="L189" s="99"/>
      <c r="M189" s="104"/>
      <c r="N189" s="96"/>
      <c r="O189" s="96"/>
      <c r="P189" s="96"/>
      <c r="Q189" s="180"/>
      <c r="R189" s="180"/>
      <c r="S189" s="180"/>
      <c r="T189" s="76"/>
      <c r="U189" s="76"/>
    </row>
    <row r="190" spans="1:21" ht="15.75" customHeight="1">
      <c r="A190" s="550"/>
      <c r="B190" s="540"/>
      <c r="C190" s="533" t="s">
        <v>200</v>
      </c>
      <c r="D190" s="187" t="s">
        <v>47</v>
      </c>
      <c r="E190" s="97" t="s">
        <v>300</v>
      </c>
      <c r="F190" s="110" t="s">
        <v>101</v>
      </c>
      <c r="G190" s="111">
        <v>1.7361111111111101E-2</v>
      </c>
      <c r="H190" s="76"/>
      <c r="I190" s="2"/>
      <c r="J190" s="99"/>
      <c r="K190" s="1"/>
      <c r="L190" s="99"/>
      <c r="M190" s="104"/>
      <c r="N190" s="96"/>
      <c r="O190" s="96"/>
      <c r="P190" s="96"/>
      <c r="Q190" s="180"/>
      <c r="R190" s="180"/>
      <c r="S190" s="180"/>
      <c r="T190" s="76"/>
      <c r="U190" s="76"/>
    </row>
    <row r="191" spans="1:21">
      <c r="A191" s="550"/>
      <c r="B191" s="540"/>
      <c r="C191" s="533"/>
      <c r="D191" s="187" t="s">
        <v>47</v>
      </c>
      <c r="E191" s="97" t="s">
        <v>301</v>
      </c>
      <c r="F191" s="110" t="s">
        <v>95</v>
      </c>
      <c r="G191" s="111">
        <v>1.7361111111111101E-2</v>
      </c>
      <c r="H191" s="76"/>
      <c r="I191" s="2"/>
      <c r="J191" s="99"/>
      <c r="K191" s="1"/>
      <c r="L191" s="99"/>
      <c r="M191" s="104"/>
      <c r="N191" s="96"/>
      <c r="O191" s="96"/>
      <c r="P191" s="96"/>
      <c r="Q191" s="180"/>
      <c r="R191" s="180"/>
      <c r="S191" s="180"/>
      <c r="T191" s="76"/>
      <c r="U191" s="76"/>
    </row>
    <row r="192" spans="1:21">
      <c r="A192" s="550"/>
      <c r="B192" s="540"/>
      <c r="C192" s="188" t="s">
        <v>302</v>
      </c>
      <c r="D192" s="108" t="s">
        <v>47</v>
      </c>
      <c r="E192" s="97" t="s">
        <v>302</v>
      </c>
      <c r="F192" s="110" t="s">
        <v>101</v>
      </c>
      <c r="G192" s="111">
        <v>4.1666666666666699E-2</v>
      </c>
      <c r="H192" s="76"/>
      <c r="I192" s="2"/>
      <c r="J192" s="99"/>
      <c r="K192" s="1"/>
      <c r="L192" s="99"/>
      <c r="M192" s="104"/>
      <c r="N192" s="113"/>
      <c r="O192" s="113"/>
      <c r="P192" s="113"/>
      <c r="Q192" s="180"/>
      <c r="R192" s="180"/>
      <c r="S192" s="180"/>
      <c r="T192" s="76"/>
      <c r="U192" s="76"/>
    </row>
    <row r="193" spans="1:25" s="62" customFormat="1" ht="24" customHeight="1">
      <c r="A193" s="189"/>
      <c r="B193" s="534" t="s">
        <v>57</v>
      </c>
      <c r="C193" s="534"/>
      <c r="D193" s="534"/>
      <c r="E193" s="189"/>
      <c r="F193" s="189"/>
      <c r="G193" s="190">
        <f>ROUNDUP(IF($A$194="x", SUMIF($D$194:$D$215,"x",$G$194:$G$215) * 24, 0),0)</f>
        <v>0</v>
      </c>
      <c r="H193" s="191"/>
      <c r="I193" s="192">
        <f>ROUNDUP(IF($A$194="x",SUMIF($D$194:$D$215,"x",$I$194:$I$215)*24,0),0)</f>
        <v>0</v>
      </c>
      <c r="J193" s="193"/>
      <c r="K193" s="194"/>
      <c r="L193" s="195">
        <f>$G$193*0.1667 + IF(Resumo!$C$7 = "SIM",$G$193*0.1667*0.3,0)</f>
        <v>0</v>
      </c>
      <c r="M193" s="195">
        <f>$G$193*0.1087</f>
        <v>0</v>
      </c>
      <c r="N193" s="195">
        <f>$G$193*0.1812 + IF(Resumo!$C$7 = "SIM",$G$193*0.1812*0.3,0)</f>
        <v>0</v>
      </c>
      <c r="O193" s="195">
        <f>$G$193*0.2897</f>
        <v>0</v>
      </c>
      <c r="P193" s="195">
        <f>$G$193*0.1087 + IF(Resumo!$C$7 = "SIM",$G$193*0.1087*0.3,0)</f>
        <v>0</v>
      </c>
      <c r="Q193" s="195">
        <f>($G$193*0.1449)*Resumo!P9</f>
        <v>0</v>
      </c>
      <c r="R193" s="195">
        <f>$G$193*0</f>
        <v>0</v>
      </c>
      <c r="S193" s="195">
        <v>0</v>
      </c>
      <c r="T193" s="76"/>
      <c r="U193" s="76"/>
      <c r="V193" s="196"/>
      <c r="X193" s="196"/>
      <c r="Y193" s="197">
        <f>SUM(Q193:X193)</f>
        <v>0</v>
      </c>
    </row>
    <row r="194" spans="1:25">
      <c r="A194" s="535" t="str">
        <f>IF(Resumo!A24="x",Resumo!A24,"")</f>
        <v/>
      </c>
      <c r="B194" s="536"/>
      <c r="C194" s="198" t="s">
        <v>303</v>
      </c>
      <c r="D194" s="199" t="s">
        <v>47</v>
      </c>
      <c r="E194" s="200" t="s">
        <v>303</v>
      </c>
      <c r="F194" s="201" t="s">
        <v>95</v>
      </c>
      <c r="G194" s="202">
        <v>4.1666666666666699E-2</v>
      </c>
      <c r="H194" s="76"/>
      <c r="I194" s="203"/>
      <c r="J194" s="204"/>
      <c r="K194" s="205"/>
      <c r="L194" s="204"/>
      <c r="M194" s="206"/>
      <c r="N194" s="207"/>
      <c r="O194" s="207"/>
      <c r="P194" s="207"/>
      <c r="Q194" s="207"/>
      <c r="R194" s="207"/>
      <c r="S194" s="207"/>
      <c r="T194" s="76"/>
      <c r="U194" s="76"/>
    </row>
    <row r="195" spans="1:25">
      <c r="A195" s="535"/>
      <c r="B195" s="536"/>
      <c r="C195" s="208" t="s">
        <v>304</v>
      </c>
      <c r="D195" s="209" t="s">
        <v>47</v>
      </c>
      <c r="E195" s="200" t="s">
        <v>305</v>
      </c>
      <c r="F195" s="201" t="s">
        <v>95</v>
      </c>
      <c r="G195" s="202">
        <v>4.1666666666666699E-2</v>
      </c>
      <c r="H195" s="76"/>
      <c r="I195" s="203"/>
      <c r="J195" s="204"/>
      <c r="K195" s="205"/>
      <c r="L195" s="204"/>
      <c r="M195" s="206"/>
      <c r="N195" s="207"/>
      <c r="O195" s="207"/>
      <c r="P195" s="207"/>
      <c r="Q195" s="207"/>
      <c r="R195" s="207"/>
      <c r="S195" s="207"/>
      <c r="T195" s="76"/>
      <c r="U195" s="76"/>
    </row>
    <row r="196" spans="1:25" ht="15.75" customHeight="1">
      <c r="A196" s="535"/>
      <c r="B196" s="536"/>
      <c r="C196" s="537" t="s">
        <v>295</v>
      </c>
      <c r="D196" s="209" t="s">
        <v>47</v>
      </c>
      <c r="E196" s="200" t="s">
        <v>306</v>
      </c>
      <c r="F196" s="201" t="s">
        <v>95</v>
      </c>
      <c r="G196" s="202">
        <v>4.1666666666666699E-2</v>
      </c>
      <c r="H196" s="76"/>
      <c r="I196" s="203"/>
      <c r="J196" s="204"/>
      <c r="K196" s="205"/>
      <c r="L196" s="204"/>
      <c r="M196" s="206"/>
      <c r="N196" s="207"/>
      <c r="O196" s="207"/>
      <c r="P196" s="207"/>
      <c r="Q196" s="207"/>
      <c r="R196" s="207"/>
      <c r="S196" s="207"/>
      <c r="T196" s="76"/>
      <c r="U196" s="76"/>
    </row>
    <row r="197" spans="1:25">
      <c r="A197" s="535"/>
      <c r="B197" s="536"/>
      <c r="C197" s="537"/>
      <c r="D197" s="209" t="s">
        <v>47</v>
      </c>
      <c r="E197" s="200" t="s">
        <v>135</v>
      </c>
      <c r="F197" s="201" t="s">
        <v>101</v>
      </c>
      <c r="G197" s="202">
        <v>3.125E-2</v>
      </c>
      <c r="H197" s="76"/>
      <c r="I197" s="203">
        <f>IF(Resumo!$C$5="ALIARE - SOLUTION", 'Aliare Integra Solution'!$AC$46, 'Aliare Integra ERP Terceiro'!$AC$46)</f>
        <v>0</v>
      </c>
      <c r="J197" s="204" t="str">
        <f>IF(OR(Resumo!$C$5="ALIARE - AGB", Resumo!$C$5="SIMER",Resumo!$C$5="ALIARE - SOLUTION"), 'Aliare Integra Solution'!$A$46,'Aliare Integra ERP Terceiro'!$A$46)</f>
        <v>Cadastro básico - Veiculo</v>
      </c>
      <c r="K197" s="205" t="str">
        <f>IF(Resumo!$C$5="ALIARE - SOLUTION", 'Aliare Integra Solution'!$B$46, 'Aliare Integra ERP Terceiro'!$B$46)</f>
        <v>1.29 Veículo</v>
      </c>
      <c r="L197" s="204"/>
      <c r="M197" s="206"/>
      <c r="N197" s="207"/>
      <c r="O197" s="207"/>
      <c r="P197" s="207"/>
      <c r="Q197" s="207"/>
      <c r="R197" s="207"/>
      <c r="S197" s="207"/>
      <c r="T197" s="76"/>
      <c r="U197" s="76"/>
    </row>
    <row r="198" spans="1:25">
      <c r="A198" s="535"/>
      <c r="B198" s="536"/>
      <c r="C198" s="537"/>
      <c r="D198" s="209" t="s">
        <v>47</v>
      </c>
      <c r="E198" s="200" t="s">
        <v>307</v>
      </c>
      <c r="F198" s="201" t="s">
        <v>101</v>
      </c>
      <c r="G198" s="202">
        <v>3.125E-2</v>
      </c>
      <c r="H198" s="76"/>
      <c r="I198" s="203"/>
      <c r="J198" s="204"/>
      <c r="K198" s="205"/>
      <c r="L198" s="204"/>
      <c r="M198" s="206"/>
      <c r="N198" s="207"/>
      <c r="O198" s="207"/>
      <c r="P198" s="207"/>
      <c r="Q198" s="207"/>
      <c r="R198" s="207"/>
      <c r="S198" s="207"/>
      <c r="T198" s="76"/>
      <c r="U198" s="76"/>
    </row>
    <row r="199" spans="1:25">
      <c r="A199" s="535"/>
      <c r="B199" s="536"/>
      <c r="C199" s="537"/>
      <c r="D199" s="209"/>
      <c r="E199" s="200" t="s">
        <v>308</v>
      </c>
      <c r="F199" s="201" t="s">
        <v>101</v>
      </c>
      <c r="G199" s="202">
        <v>3.125E-2</v>
      </c>
      <c r="H199" s="76"/>
      <c r="I199" s="203"/>
      <c r="J199" s="204"/>
      <c r="K199" s="205"/>
      <c r="L199" s="204"/>
      <c r="M199" s="206"/>
      <c r="N199" s="207"/>
      <c r="O199" s="207"/>
      <c r="P199" s="207"/>
      <c r="Q199" s="207"/>
      <c r="R199" s="207"/>
      <c r="S199" s="207"/>
      <c r="T199" s="76"/>
      <c r="U199" s="76"/>
    </row>
    <row r="200" spans="1:25">
      <c r="A200" s="535"/>
      <c r="B200" s="536"/>
      <c r="C200" s="537"/>
      <c r="D200" s="209"/>
      <c r="E200" s="200" t="s">
        <v>139</v>
      </c>
      <c r="F200" s="201" t="s">
        <v>101</v>
      </c>
      <c r="G200" s="202">
        <v>3.125E-2</v>
      </c>
      <c r="H200" s="76"/>
      <c r="I200" s="203"/>
      <c r="J200" s="204"/>
      <c r="K200" s="205"/>
      <c r="L200" s="204"/>
      <c r="M200" s="206"/>
      <c r="N200" s="207"/>
      <c r="O200" s="207"/>
      <c r="P200" s="207"/>
      <c r="Q200" s="207"/>
      <c r="R200" s="207"/>
      <c r="S200" s="207"/>
      <c r="T200" s="76"/>
      <c r="U200" s="76"/>
    </row>
    <row r="201" spans="1:25">
      <c r="A201" s="535"/>
      <c r="B201" s="536"/>
      <c r="C201" s="537"/>
      <c r="D201" s="209" t="s">
        <v>47</v>
      </c>
      <c r="E201" s="200" t="s">
        <v>309</v>
      </c>
      <c r="F201" s="201" t="s">
        <v>95</v>
      </c>
      <c r="G201" s="202">
        <v>3.125E-2</v>
      </c>
      <c r="H201" s="76"/>
      <c r="I201" s="203"/>
      <c r="J201" s="204"/>
      <c r="K201" s="205"/>
      <c r="L201" s="204"/>
      <c r="M201" s="206"/>
      <c r="N201" s="207"/>
      <c r="O201" s="207"/>
      <c r="P201" s="207"/>
      <c r="Q201" s="207"/>
      <c r="R201" s="207"/>
      <c r="S201" s="207"/>
      <c r="T201" s="76"/>
      <c r="U201" s="76"/>
    </row>
    <row r="202" spans="1:25" ht="15.75" customHeight="1">
      <c r="A202" s="535"/>
      <c r="B202" s="536"/>
      <c r="C202" s="538" t="s">
        <v>165</v>
      </c>
      <c r="D202" s="209" t="s">
        <v>47</v>
      </c>
      <c r="E202" s="200" t="s">
        <v>310</v>
      </c>
      <c r="F202" s="201" t="s">
        <v>101</v>
      </c>
      <c r="G202" s="202">
        <v>1.7361111111111101E-2</v>
      </c>
      <c r="H202" s="76"/>
      <c r="I202" s="203"/>
      <c r="J202" s="204"/>
      <c r="K202" s="205"/>
      <c r="L202" s="204"/>
      <c r="M202" s="206"/>
      <c r="N202" s="207"/>
      <c r="O202" s="207"/>
      <c r="P202" s="207"/>
      <c r="Q202" s="207"/>
      <c r="R202" s="207"/>
      <c r="S202" s="207"/>
      <c r="T202" s="76"/>
      <c r="U202" s="76"/>
    </row>
    <row r="203" spans="1:25">
      <c r="A203" s="535"/>
      <c r="B203" s="536"/>
      <c r="C203" s="536"/>
      <c r="D203" s="209" t="s">
        <v>47</v>
      </c>
      <c r="E203" s="200" t="s">
        <v>311</v>
      </c>
      <c r="F203" s="201" t="s">
        <v>101</v>
      </c>
      <c r="G203" s="202">
        <v>1.0416666666666701E-2</v>
      </c>
      <c r="H203" s="76"/>
      <c r="I203" s="203"/>
      <c r="J203" s="204"/>
      <c r="K203" s="205"/>
      <c r="L203" s="204"/>
      <c r="M203" s="206"/>
      <c r="N203" s="207"/>
      <c r="O203" s="207"/>
      <c r="P203" s="207"/>
      <c r="Q203" s="207"/>
      <c r="R203" s="207"/>
      <c r="S203" s="207"/>
      <c r="T203" s="76"/>
      <c r="U203" s="76"/>
    </row>
    <row r="204" spans="1:25">
      <c r="A204" s="535"/>
      <c r="B204" s="536"/>
      <c r="C204" s="536"/>
      <c r="D204" s="209"/>
      <c r="E204" s="200" t="s">
        <v>312</v>
      </c>
      <c r="F204" s="201" t="s">
        <v>101</v>
      </c>
      <c r="G204" s="202">
        <v>1.0416666666666701E-2</v>
      </c>
      <c r="H204" s="76"/>
      <c r="I204" s="203"/>
      <c r="J204" s="204"/>
      <c r="K204" s="205"/>
      <c r="L204" s="204"/>
      <c r="M204" s="206"/>
      <c r="N204" s="207"/>
      <c r="O204" s="207"/>
      <c r="P204" s="207"/>
      <c r="Q204" s="207"/>
      <c r="R204" s="207"/>
      <c r="S204" s="207"/>
      <c r="T204" s="76"/>
      <c r="U204" s="76"/>
    </row>
    <row r="205" spans="1:25">
      <c r="A205" s="535"/>
      <c r="B205" s="536"/>
      <c r="C205" s="536"/>
      <c r="D205" s="209"/>
      <c r="E205" s="200" t="s">
        <v>313</v>
      </c>
      <c r="F205" s="201" t="s">
        <v>101</v>
      </c>
      <c r="G205" s="202">
        <v>1.0416666666666701E-2</v>
      </c>
      <c r="H205" s="76"/>
      <c r="I205" s="203"/>
      <c r="J205" s="204"/>
      <c r="K205" s="205"/>
      <c r="L205" s="204"/>
      <c r="M205" s="206"/>
      <c r="N205" s="207"/>
      <c r="O205" s="207"/>
      <c r="P205" s="207"/>
      <c r="Q205" s="207"/>
      <c r="R205" s="207"/>
      <c r="S205" s="207"/>
      <c r="T205" s="76"/>
      <c r="U205" s="76"/>
    </row>
    <row r="206" spans="1:25">
      <c r="A206" s="535"/>
      <c r="B206" s="536"/>
      <c r="C206" s="536"/>
      <c r="D206" s="209" t="s">
        <v>47</v>
      </c>
      <c r="E206" s="200" t="s">
        <v>314</v>
      </c>
      <c r="F206" s="201" t="s">
        <v>101</v>
      </c>
      <c r="G206" s="202">
        <v>1.0416666666666701E-2</v>
      </c>
      <c r="H206" s="76"/>
      <c r="I206" s="203"/>
      <c r="J206" s="204"/>
      <c r="K206" s="205"/>
      <c r="L206" s="204"/>
      <c r="M206" s="206"/>
      <c r="N206" s="207"/>
      <c r="O206" s="207"/>
      <c r="P206" s="207"/>
      <c r="Q206" s="207"/>
      <c r="R206" s="207"/>
      <c r="S206" s="207"/>
      <c r="T206" s="76"/>
      <c r="U206" s="76"/>
    </row>
    <row r="207" spans="1:25">
      <c r="A207" s="535"/>
      <c r="B207" s="536"/>
      <c r="C207" s="536"/>
      <c r="D207" s="209" t="s">
        <v>47</v>
      </c>
      <c r="E207" s="200" t="s">
        <v>315</v>
      </c>
      <c r="F207" s="201" t="s">
        <v>101</v>
      </c>
      <c r="G207" s="202">
        <v>1.7361111111111101E-2</v>
      </c>
      <c r="H207" s="76"/>
      <c r="I207" s="203"/>
      <c r="J207" s="204"/>
      <c r="K207" s="205"/>
      <c r="L207" s="204"/>
      <c r="M207" s="206"/>
      <c r="N207" s="207"/>
      <c r="O207" s="207"/>
      <c r="P207" s="207"/>
      <c r="Q207" s="207"/>
      <c r="R207" s="207"/>
      <c r="S207" s="207"/>
      <c r="T207" s="76"/>
      <c r="U207" s="76"/>
    </row>
    <row r="208" spans="1:25">
      <c r="A208" s="535"/>
      <c r="B208" s="536"/>
      <c r="C208" s="538"/>
      <c r="D208" s="209"/>
      <c r="E208" s="200" t="s">
        <v>316</v>
      </c>
      <c r="F208" s="201" t="s">
        <v>101</v>
      </c>
      <c r="G208" s="202">
        <v>6.9444444444444397E-3</v>
      </c>
      <c r="H208" s="76"/>
      <c r="I208" s="203"/>
      <c r="J208" s="204"/>
      <c r="K208" s="205"/>
      <c r="L208" s="204"/>
      <c r="M208" s="206"/>
      <c r="N208" s="207"/>
      <c r="O208" s="207"/>
      <c r="P208" s="207"/>
      <c r="Q208" s="207"/>
      <c r="R208" s="207"/>
      <c r="S208" s="207"/>
      <c r="T208" s="76"/>
      <c r="U208" s="76"/>
    </row>
    <row r="209" spans="1:25" ht="15.75" customHeight="1">
      <c r="A209" s="535"/>
      <c r="B209" s="536"/>
      <c r="C209" s="538" t="s">
        <v>317</v>
      </c>
      <c r="D209" s="209" t="s">
        <v>47</v>
      </c>
      <c r="E209" s="210" t="s">
        <v>318</v>
      </c>
      <c r="F209" s="201" t="s">
        <v>101</v>
      </c>
      <c r="G209" s="202">
        <v>1.7361111111111101E-2</v>
      </c>
      <c r="H209" s="76"/>
      <c r="I209" s="203"/>
      <c r="J209" s="204"/>
      <c r="K209" s="205"/>
      <c r="L209" s="204"/>
      <c r="M209" s="206"/>
      <c r="N209" s="207"/>
      <c r="O209" s="207"/>
      <c r="P209" s="207"/>
      <c r="Q209" s="207"/>
      <c r="R209" s="207"/>
      <c r="S209" s="207"/>
      <c r="T209" s="76"/>
      <c r="U209" s="76"/>
    </row>
    <row r="210" spans="1:25">
      <c r="A210" s="535"/>
      <c r="B210" s="536"/>
      <c r="C210" s="538"/>
      <c r="D210" s="209" t="s">
        <v>47</v>
      </c>
      <c r="E210" s="210" t="s">
        <v>319</v>
      </c>
      <c r="F210" s="201" t="s">
        <v>101</v>
      </c>
      <c r="G210" s="202">
        <v>1.7361111111111101E-2</v>
      </c>
      <c r="H210" s="76"/>
      <c r="I210" s="203"/>
      <c r="J210" s="204"/>
      <c r="K210" s="205"/>
      <c r="L210" s="204"/>
      <c r="M210" s="206"/>
      <c r="N210" s="207"/>
      <c r="O210" s="207"/>
      <c r="P210" s="207"/>
      <c r="Q210" s="207"/>
      <c r="R210" s="207"/>
      <c r="S210" s="207"/>
      <c r="T210" s="76"/>
      <c r="U210" s="76"/>
    </row>
    <row r="211" spans="1:25" ht="15.75" customHeight="1">
      <c r="A211" s="535"/>
      <c r="B211" s="536"/>
      <c r="C211" s="539" t="s">
        <v>137</v>
      </c>
      <c r="D211" s="209" t="s">
        <v>47</v>
      </c>
      <c r="E211" s="200" t="s">
        <v>320</v>
      </c>
      <c r="F211" s="201" t="s">
        <v>101</v>
      </c>
      <c r="G211" s="202">
        <v>2.0833333333333301E-2</v>
      </c>
      <c r="H211" s="76"/>
      <c r="I211" s="203"/>
      <c r="J211" s="204"/>
      <c r="K211" s="205"/>
      <c r="L211" s="204"/>
      <c r="M211" s="206"/>
      <c r="N211" s="207"/>
      <c r="O211" s="207"/>
      <c r="P211" s="207"/>
      <c r="Q211" s="207"/>
      <c r="R211" s="207"/>
      <c r="S211" s="207"/>
      <c r="T211" s="76"/>
      <c r="U211" s="76"/>
    </row>
    <row r="212" spans="1:25">
      <c r="A212" s="535"/>
      <c r="B212" s="536"/>
      <c r="C212" s="539"/>
      <c r="D212" s="209" t="s">
        <v>47</v>
      </c>
      <c r="E212" s="200" t="s">
        <v>137</v>
      </c>
      <c r="F212" s="201" t="s">
        <v>95</v>
      </c>
      <c r="G212" s="202">
        <v>6.25E-2</v>
      </c>
      <c r="H212" s="76"/>
      <c r="I212" s="203"/>
      <c r="J212" s="204"/>
      <c r="K212" s="205"/>
      <c r="L212" s="204"/>
      <c r="M212" s="206"/>
      <c r="N212" s="207"/>
      <c r="O212" s="207"/>
      <c r="P212" s="207"/>
      <c r="Q212" s="207"/>
      <c r="R212" s="207"/>
      <c r="S212" s="207"/>
      <c r="T212" s="76"/>
      <c r="U212" s="76"/>
    </row>
    <row r="213" spans="1:25">
      <c r="A213" s="535"/>
      <c r="B213" s="536"/>
      <c r="C213" s="539"/>
      <c r="D213" s="209" t="s">
        <v>47</v>
      </c>
      <c r="E213" s="200" t="s">
        <v>321</v>
      </c>
      <c r="F213" s="201" t="s">
        <v>101</v>
      </c>
      <c r="G213" s="202">
        <v>3.125E-2</v>
      </c>
      <c r="H213" s="76"/>
      <c r="I213" s="203">
        <f>IF(Resumo!$C$5="ALIARE - SOLUTION", 'Aliare Integra Solution'!$AC$50, 'Aliare Integra ERP Terceiro'!$AC$50)</f>
        <v>0</v>
      </c>
      <c r="J213" s="204">
        <f>IF(Resumo!$C$5="ALIARE - SOLUTION", 'Aliare Integra Solution'!$A$50,'Aliare Integra ERP Terceiro'!$A$50)</f>
        <v>0</v>
      </c>
      <c r="K213" s="205" t="str">
        <f>IF(Resumo!$C$5="ALIARE - SOLUTION", 'Aliare Integra Solution'!$B$50, 'Aliare Integra ERP Terceiro'!$B$50)</f>
        <v>4.3 Exportação de Viagem</v>
      </c>
      <c r="L213" s="204"/>
      <c r="M213" s="206"/>
      <c r="N213" s="207"/>
      <c r="O213" s="207"/>
      <c r="P213" s="207"/>
      <c r="Q213" s="207"/>
      <c r="R213" s="207"/>
      <c r="S213" s="207"/>
      <c r="T213" s="76"/>
      <c r="U213" s="76"/>
    </row>
    <row r="214" spans="1:25">
      <c r="A214" s="535"/>
      <c r="B214" s="536"/>
      <c r="C214" s="539"/>
      <c r="D214" s="209" t="s">
        <v>47</v>
      </c>
      <c r="E214" s="200" t="s">
        <v>322</v>
      </c>
      <c r="F214" s="201" t="s">
        <v>101</v>
      </c>
      <c r="G214" s="202">
        <v>3.125E-2</v>
      </c>
      <c r="H214" s="76"/>
      <c r="I214" s="203"/>
      <c r="J214" s="204"/>
      <c r="K214" s="205"/>
      <c r="L214" s="204"/>
      <c r="M214" s="206"/>
      <c r="N214" s="207"/>
      <c r="O214" s="207"/>
      <c r="P214" s="207"/>
      <c r="Q214" s="207"/>
      <c r="R214" s="207"/>
      <c r="S214" s="207"/>
      <c r="T214" s="76"/>
      <c r="U214" s="76"/>
    </row>
    <row r="215" spans="1:25">
      <c r="A215" s="535"/>
      <c r="B215" s="536"/>
      <c r="C215" s="539"/>
      <c r="D215" s="209" t="s">
        <v>47</v>
      </c>
      <c r="E215" s="211" t="s">
        <v>323</v>
      </c>
      <c r="F215" s="212" t="s">
        <v>95</v>
      </c>
      <c r="G215" s="213">
        <v>3.125E-2</v>
      </c>
      <c r="H215" s="76"/>
      <c r="I215" s="203"/>
      <c r="J215" s="204"/>
      <c r="K215" s="205"/>
      <c r="L215" s="204"/>
      <c r="M215" s="206"/>
      <c r="N215" s="214"/>
      <c r="O215" s="214"/>
      <c r="P215" s="214"/>
      <c r="Q215" s="207"/>
      <c r="R215" s="207"/>
      <c r="S215" s="207"/>
      <c r="T215" s="76"/>
      <c r="U215" s="76"/>
    </row>
    <row r="216" spans="1:25" s="225" customFormat="1" ht="24" customHeight="1">
      <c r="A216" s="215"/>
      <c r="B216" s="523" t="s">
        <v>51</v>
      </c>
      <c r="C216" s="523"/>
      <c r="D216" s="523"/>
      <c r="E216" s="216"/>
      <c r="F216" s="217"/>
      <c r="G216" s="218">
        <f>ROUNDUP(IF($A$217="x", SUMIF($D$217:$D$221,"x",$G$217:$G$221) * 24, 0),0)</f>
        <v>0</v>
      </c>
      <c r="H216" s="219"/>
      <c r="I216" s="220">
        <f>ROUNDUP(IF($A$217="x",SUMIF($D$217:$D$221,"x",$I$217:$I$221)*24,0),0)</f>
        <v>0</v>
      </c>
      <c r="J216" s="221"/>
      <c r="K216" s="222"/>
      <c r="L216" s="223">
        <v>0</v>
      </c>
      <c r="M216" s="223">
        <f>$G$216*0.1699</f>
        <v>0</v>
      </c>
      <c r="N216" s="223">
        <f>$G$216*0.0845 + IF(Resumo!$C$7 = "SIM",$G$216*0.0845*0.3,0)</f>
        <v>0</v>
      </c>
      <c r="O216" s="223">
        <f>$G$216*0.4167</f>
        <v>0</v>
      </c>
      <c r="P216" s="223">
        <f>$G$216*0.845 + IF(Resumo!$C$7 = "SIM",$G$216*0.0845*0.3,0)</f>
        <v>0</v>
      </c>
      <c r="Q216" s="223">
        <f>($G$216*0.25)*Resumo!P9</f>
        <v>0</v>
      </c>
      <c r="R216" s="223">
        <f>$G$216*0</f>
        <v>0</v>
      </c>
      <c r="S216" s="223">
        <v>0</v>
      </c>
      <c r="T216" s="76"/>
      <c r="U216" s="76"/>
      <c r="V216" s="224"/>
      <c r="X216" s="224"/>
      <c r="Y216" s="224">
        <f>SUM(Q216:V216)</f>
        <v>0</v>
      </c>
    </row>
    <row r="217" spans="1:25" ht="15.75" customHeight="1">
      <c r="A217" s="524" t="str">
        <f>IF(Resumo!A18="x",Resumo!A18,"")</f>
        <v/>
      </c>
      <c r="B217" s="524"/>
      <c r="C217" s="502" t="s">
        <v>295</v>
      </c>
      <c r="D217" s="227" t="s">
        <v>47</v>
      </c>
      <c r="E217" s="228" t="s">
        <v>324</v>
      </c>
      <c r="F217" s="229" t="s">
        <v>95</v>
      </c>
      <c r="G217" s="230">
        <v>3.125E-2</v>
      </c>
      <c r="H217" s="76"/>
      <c r="I217" s="231"/>
      <c r="J217" s="232"/>
      <c r="K217" s="233"/>
      <c r="L217" s="229"/>
      <c r="M217" s="229"/>
      <c r="N217" s="234"/>
      <c r="O217" s="234"/>
      <c r="P217" s="234"/>
      <c r="Q217" s="234"/>
      <c r="R217" s="234"/>
      <c r="S217" s="234"/>
      <c r="T217" s="76"/>
      <c r="U217" s="76"/>
    </row>
    <row r="218" spans="1:25" ht="15.75" customHeight="1">
      <c r="A218" s="524"/>
      <c r="B218" s="524"/>
      <c r="C218" s="524"/>
      <c r="D218" s="227" t="s">
        <v>47</v>
      </c>
      <c r="E218" s="228" t="s">
        <v>325</v>
      </c>
      <c r="F218" s="229" t="s">
        <v>95</v>
      </c>
      <c r="G218" s="230">
        <v>3.125E-2</v>
      </c>
      <c r="H218" s="76"/>
      <c r="I218" s="231"/>
      <c r="J218" s="232"/>
      <c r="K218" s="233"/>
      <c r="L218" s="229"/>
      <c r="M218" s="229"/>
      <c r="N218" s="234"/>
      <c r="O218" s="234"/>
      <c r="P218" s="234"/>
      <c r="Q218" s="234"/>
      <c r="R218" s="234"/>
      <c r="S218" s="234"/>
      <c r="T218" s="76"/>
      <c r="U218" s="76"/>
    </row>
    <row r="219" spans="1:25" ht="15.75" customHeight="1">
      <c r="A219" s="524"/>
      <c r="B219" s="524"/>
      <c r="C219" s="502"/>
      <c r="D219" s="227" t="s">
        <v>47</v>
      </c>
      <c r="E219" s="228" t="s">
        <v>326</v>
      </c>
      <c r="F219" s="229" t="s">
        <v>101</v>
      </c>
      <c r="G219" s="230">
        <v>6.25E-2</v>
      </c>
      <c r="H219" s="76"/>
      <c r="I219" s="231"/>
      <c r="J219" s="232"/>
      <c r="K219" s="233"/>
      <c r="L219" s="229"/>
      <c r="M219" s="229"/>
      <c r="N219" s="234"/>
      <c r="O219" s="234"/>
      <c r="P219" s="234"/>
      <c r="Q219" s="234"/>
      <c r="R219" s="234"/>
      <c r="S219" s="234"/>
      <c r="T219" s="76"/>
      <c r="U219" s="76"/>
    </row>
    <row r="220" spans="1:25" ht="15.75" customHeight="1">
      <c r="A220" s="524"/>
      <c r="B220" s="524"/>
      <c r="C220" s="226" t="s">
        <v>327</v>
      </c>
      <c r="D220" s="227" t="s">
        <v>47</v>
      </c>
      <c r="E220" s="228" t="s">
        <v>328</v>
      </c>
      <c r="F220" s="229" t="s">
        <v>101</v>
      </c>
      <c r="G220" s="230">
        <v>3.125E-2</v>
      </c>
      <c r="H220" s="76"/>
      <c r="I220" s="231"/>
      <c r="J220" s="232"/>
      <c r="K220" s="233"/>
      <c r="L220" s="229"/>
      <c r="M220" s="229"/>
      <c r="N220" s="234"/>
      <c r="O220" s="234"/>
      <c r="P220" s="234"/>
      <c r="Q220" s="234"/>
      <c r="R220" s="234"/>
      <c r="S220" s="234"/>
      <c r="T220" s="76"/>
      <c r="U220" s="76"/>
    </row>
    <row r="221" spans="1:25" ht="15.75" customHeight="1">
      <c r="A221" s="524"/>
      <c r="B221" s="524"/>
      <c r="C221" s="235" t="s">
        <v>329</v>
      </c>
      <c r="D221" s="227" t="s">
        <v>47</v>
      </c>
      <c r="E221" s="228" t="s">
        <v>329</v>
      </c>
      <c r="F221" s="229" t="s">
        <v>95</v>
      </c>
      <c r="G221" s="230">
        <v>6.25E-2</v>
      </c>
      <c r="H221" s="76"/>
      <c r="I221" s="231"/>
      <c r="J221" s="232"/>
      <c r="K221" s="233"/>
      <c r="L221" s="229"/>
      <c r="M221" s="229"/>
      <c r="N221" s="234"/>
      <c r="O221" s="234"/>
      <c r="P221" s="234"/>
      <c r="Q221" s="234"/>
      <c r="R221" s="234"/>
      <c r="S221" s="234"/>
      <c r="T221" s="76"/>
      <c r="U221" s="76"/>
    </row>
    <row r="222" spans="1:25" s="245" customFormat="1" ht="21.75" customHeight="1">
      <c r="A222" s="236"/>
      <c r="B222" s="525" t="s">
        <v>59</v>
      </c>
      <c r="C222" s="525"/>
      <c r="D222" s="525"/>
      <c r="E222" s="237"/>
      <c r="F222" s="236"/>
      <c r="G222" s="238">
        <f>ROUNDUP(IF($A$223="x",SUMIF($D$223:$D$230,"x",$G$223:$G$230)*24,0),0)</f>
        <v>0</v>
      </c>
      <c r="H222" s="239"/>
      <c r="I222" s="240">
        <f>ROUNDUP(IF($A$223="x",SUMIF($D$223:$D$230,"x",$I$223:$I$230)*24,0),0)</f>
        <v>0</v>
      </c>
      <c r="J222" s="241"/>
      <c r="K222" s="242"/>
      <c r="L222" s="122">
        <f>IF(A223="x",0,IF(A127="x",SUM(L223:L230)*24 + IF(Resumo!C7 = "SIM",SUM(L223:L230)*24*0.3,0),0))</f>
        <v>0</v>
      </c>
      <c r="M222" s="243">
        <f>$G$222*0.1538</f>
        <v>0</v>
      </c>
      <c r="N222" s="243">
        <f>$G$222*0.2308 + IF(Resumo!$C$7 = "SIM",$G$222*0.2308*0.3,0)</f>
        <v>0</v>
      </c>
      <c r="O222" s="243">
        <f>$G$222*0.3077</f>
        <v>0</v>
      </c>
      <c r="P222" s="243">
        <f>$G$222*0.0769 + IF(Resumo!$C$7 = "SIM",$G$222*0.0769*0.3,0)</f>
        <v>0</v>
      </c>
      <c r="Q222" s="243">
        <f>($G$222*0.2308)*Resumo!P9</f>
        <v>0</v>
      </c>
      <c r="R222" s="122">
        <f>$G$222*0</f>
        <v>0</v>
      </c>
      <c r="S222" s="122">
        <v>0</v>
      </c>
      <c r="T222" s="76"/>
      <c r="U222" s="76"/>
      <c r="V222" s="244"/>
      <c r="X222" s="244"/>
      <c r="Y222" s="244">
        <f>SUM(Q222:V222)</f>
        <v>0</v>
      </c>
    </row>
    <row r="223" spans="1:25" ht="15.75" customHeight="1">
      <c r="A223" s="526" t="str">
        <f>IF(Resumo!A26="x",Resumo!A26,"")</f>
        <v/>
      </c>
      <c r="B223" s="527"/>
      <c r="C223" s="528" t="s">
        <v>295</v>
      </c>
      <c r="D223" s="246" t="s">
        <v>47</v>
      </c>
      <c r="E223" s="247" t="s">
        <v>258</v>
      </c>
      <c r="F223" s="248" t="s">
        <v>101</v>
      </c>
      <c r="G223" s="249">
        <v>2.0833333333333301E-2</v>
      </c>
      <c r="H223" s="76"/>
      <c r="I223" s="250"/>
      <c r="J223" s="251"/>
      <c r="K223" s="252"/>
      <c r="L223" s="253"/>
      <c r="M223" s="253"/>
      <c r="N223" s="254"/>
      <c r="O223" s="254"/>
      <c r="P223" s="254"/>
      <c r="Q223" s="254"/>
      <c r="R223" s="254"/>
      <c r="S223" s="254"/>
      <c r="T223" s="76"/>
      <c r="U223" s="76"/>
    </row>
    <row r="224" spans="1:25" ht="15.75" customHeight="1">
      <c r="A224" s="526"/>
      <c r="B224" s="526"/>
      <c r="C224" s="526"/>
      <c r="D224" s="246" t="s">
        <v>47</v>
      </c>
      <c r="E224" s="247" t="s">
        <v>330</v>
      </c>
      <c r="F224" s="248" t="s">
        <v>101</v>
      </c>
      <c r="G224" s="249">
        <v>4.1666666666666699E-2</v>
      </c>
      <c r="H224" s="76"/>
      <c r="I224" s="250"/>
      <c r="J224" s="251"/>
      <c r="K224" s="252"/>
      <c r="L224" s="253"/>
      <c r="M224" s="253"/>
      <c r="N224" s="254"/>
      <c r="O224" s="254"/>
      <c r="P224" s="254"/>
      <c r="Q224" s="254"/>
      <c r="R224" s="254"/>
      <c r="S224" s="254"/>
      <c r="T224" s="76"/>
      <c r="U224" s="76"/>
    </row>
    <row r="225" spans="1:25" ht="15.75" customHeight="1">
      <c r="A225" s="526"/>
      <c r="B225" s="526"/>
      <c r="C225" s="526"/>
      <c r="D225" s="246" t="s">
        <v>47</v>
      </c>
      <c r="E225" s="247" t="s">
        <v>331</v>
      </c>
      <c r="F225" s="248" t="s">
        <v>95</v>
      </c>
      <c r="G225" s="249">
        <v>2.0833333333333301E-2</v>
      </c>
      <c r="H225" s="76"/>
      <c r="I225" s="250"/>
      <c r="J225" s="251"/>
      <c r="K225" s="252"/>
      <c r="L225" s="253"/>
      <c r="M225" s="253"/>
      <c r="N225" s="254"/>
      <c r="O225" s="254"/>
      <c r="P225" s="254"/>
      <c r="Q225" s="254"/>
      <c r="R225" s="254"/>
      <c r="S225" s="254"/>
      <c r="T225" s="76"/>
      <c r="U225" s="76"/>
    </row>
    <row r="226" spans="1:25" ht="15.75" customHeight="1">
      <c r="A226" s="526"/>
      <c r="B226" s="526"/>
      <c r="C226" s="526"/>
      <c r="D226" s="246" t="s">
        <v>47</v>
      </c>
      <c r="E226" s="247" t="s">
        <v>332</v>
      </c>
      <c r="F226" s="248" t="s">
        <v>95</v>
      </c>
      <c r="G226" s="249">
        <v>2.0833333333333301E-2</v>
      </c>
      <c r="H226" s="76"/>
      <c r="I226" s="250"/>
      <c r="J226" s="251"/>
      <c r="K226" s="252"/>
      <c r="L226" s="253"/>
      <c r="M226" s="253"/>
      <c r="N226" s="254"/>
      <c r="O226" s="254"/>
      <c r="P226" s="254"/>
      <c r="Q226" s="254"/>
      <c r="R226" s="254"/>
      <c r="S226" s="254"/>
      <c r="T226" s="76"/>
      <c r="U226" s="76"/>
    </row>
    <row r="227" spans="1:25" ht="15.75" customHeight="1">
      <c r="A227" s="526"/>
      <c r="B227" s="526"/>
      <c r="C227" s="526"/>
      <c r="D227" s="246" t="s">
        <v>47</v>
      </c>
      <c r="E227" s="247" t="s">
        <v>104</v>
      </c>
      <c r="F227" s="248" t="s">
        <v>95</v>
      </c>
      <c r="G227" s="249">
        <v>2.0833333333333301E-2</v>
      </c>
      <c r="H227" s="76"/>
      <c r="I227" s="250"/>
      <c r="J227" s="251"/>
      <c r="K227" s="252"/>
      <c r="L227" s="253"/>
      <c r="M227" s="253"/>
      <c r="N227" s="254"/>
      <c r="O227" s="254"/>
      <c r="P227" s="254"/>
      <c r="Q227" s="254"/>
      <c r="R227" s="254"/>
      <c r="S227" s="254"/>
      <c r="T227" s="76"/>
      <c r="U227" s="76"/>
    </row>
    <row r="228" spans="1:25" ht="15.75" customHeight="1">
      <c r="A228" s="526"/>
      <c r="B228" s="526"/>
      <c r="C228" s="255" t="s">
        <v>327</v>
      </c>
      <c r="D228" s="246" t="s">
        <v>47</v>
      </c>
      <c r="E228" s="256" t="s">
        <v>333</v>
      </c>
      <c r="F228" s="248" t="s">
        <v>95</v>
      </c>
      <c r="G228" s="249">
        <v>6.25E-2</v>
      </c>
      <c r="H228" s="76"/>
      <c r="I228" s="250"/>
      <c r="J228" s="251"/>
      <c r="K228" s="252"/>
      <c r="L228" s="253"/>
      <c r="M228" s="253"/>
      <c r="N228" s="254"/>
      <c r="O228" s="254"/>
      <c r="P228" s="254"/>
      <c r="Q228" s="254"/>
      <c r="R228" s="254"/>
      <c r="S228" s="254"/>
      <c r="T228" s="76"/>
      <c r="U228" s="76"/>
    </row>
    <row r="229" spans="1:25" ht="31.5" customHeight="1">
      <c r="A229" s="526"/>
      <c r="B229" s="526"/>
      <c r="C229" s="529" t="s">
        <v>334</v>
      </c>
      <c r="D229" s="246" t="s">
        <v>47</v>
      </c>
      <c r="E229" s="257" t="s">
        <v>334</v>
      </c>
      <c r="F229" s="248" t="s">
        <v>95</v>
      </c>
      <c r="G229" s="249">
        <v>6.25E-2</v>
      </c>
      <c r="H229" s="76"/>
      <c r="I229" s="250">
        <f>IF(Resumo!$C$5="ALIARE - SOLUTION", 'Aliare Integra Solution'!$AC$58, 'Aliare Integra ERP Terceiro'!$AC$58)</f>
        <v>4.1666666666666699E-2</v>
      </c>
      <c r="J229" s="252" t="str">
        <f>IF(OR(Resumo!$C$5="ALIARE - AGB", Resumo!$C$5="SIMER",Resumo!$C$5="ALIARE - SOLUTION"), 'Aliare Integra Solution'!$A$58,'Aliare Integra ERP Terceiro'!$A$58)</f>
        <v>Movimentação financeira - Resumo financeiro do cliente</v>
      </c>
      <c r="K229" s="246" t="str">
        <f>IF(Resumo!$C$5="ALIARE - SOLUTION", 'Aliare Integra Solution'!$B$58, 'Aliare Integra ERP Terceiro'!$B$58)</f>
        <v>3.11 PCResumoFinanceiro + 3.12 PCResumoTitulos</v>
      </c>
      <c r="L229" s="250">
        <f>IF(OR(Resumo!$C$5="ALIARE - AGB", Resumo!$C$5="SIMER", Resumo!$C$5="ALIARE - SOLUTION"), 'Aliare Integra Solution'!$G$58, 'Aliare Integra ERP Terceiro'!$G$58)</f>
        <v>8.3333333333333301E-2</v>
      </c>
      <c r="M229" s="253"/>
      <c r="N229" s="254"/>
      <c r="O229" s="254"/>
      <c r="P229" s="254"/>
      <c r="Q229" s="254"/>
      <c r="R229" s="254"/>
      <c r="S229" s="254"/>
      <c r="T229" s="76"/>
      <c r="U229" s="76"/>
    </row>
    <row r="230" spans="1:25" ht="16.5" customHeight="1">
      <c r="A230" s="526"/>
      <c r="B230" s="527"/>
      <c r="C230" s="529"/>
      <c r="D230" s="246" t="s">
        <v>47</v>
      </c>
      <c r="E230" s="257" t="s">
        <v>335</v>
      </c>
      <c r="F230" s="248" t="s">
        <v>101</v>
      </c>
      <c r="G230" s="249">
        <v>4.1666666666666699E-2</v>
      </c>
      <c r="H230" s="76"/>
      <c r="I230" s="250"/>
      <c r="J230" s="251"/>
      <c r="K230" s="252"/>
      <c r="L230" s="253"/>
      <c r="M230" s="253"/>
      <c r="N230" s="254"/>
      <c r="O230" s="254"/>
      <c r="P230" s="254"/>
      <c r="Q230" s="254"/>
      <c r="R230" s="254"/>
      <c r="S230" s="254"/>
      <c r="T230" s="76"/>
      <c r="U230" s="76"/>
    </row>
    <row r="231" spans="1:25" s="245" customFormat="1" ht="27" customHeight="1">
      <c r="A231" s="258"/>
      <c r="B231" s="516" t="s">
        <v>52</v>
      </c>
      <c r="C231" s="516"/>
      <c r="D231" s="516"/>
      <c r="E231" s="259"/>
      <c r="F231" s="258"/>
      <c r="G231" s="260">
        <f>ROUNDUP(IF($A$232="x",SUMIF($D$232:$D$238,"x",$G$232:$G$238)*24,0),0)</f>
        <v>0</v>
      </c>
      <c r="H231" s="261"/>
      <c r="I231" s="262">
        <f>ROUNDUP(IF($A$232="x",SUMIF($D$232:$D$238,"x",$I$232:$I$238)*24,0),0)</f>
        <v>0</v>
      </c>
      <c r="J231" s="263"/>
      <c r="K231" s="264"/>
      <c r="L231" s="265">
        <v>0</v>
      </c>
      <c r="M231" s="265">
        <f>$G$231*0.0854</f>
        <v>0</v>
      </c>
      <c r="N231" s="265">
        <f>$G$231*0.3333 + IF(Resumo!$C$7 = "SIM",(G231*0.3333)*0.3,0)</f>
        <v>0</v>
      </c>
      <c r="O231" s="265">
        <f>$G$231*0.25</f>
        <v>0</v>
      </c>
      <c r="P231" s="265">
        <f>$G$231*0.0854 + IF(Resumo!$C$7 = "SIM",G231*0.0854*0.3,0)</f>
        <v>0</v>
      </c>
      <c r="Q231" s="265">
        <f>$G$231*0.25*Resumo!P9</f>
        <v>0</v>
      </c>
      <c r="R231" s="265">
        <f>$G$231*0</f>
        <v>0</v>
      </c>
      <c r="S231" s="265">
        <v>0</v>
      </c>
      <c r="T231" s="76"/>
      <c r="U231" s="76"/>
      <c r="V231" s="244"/>
      <c r="X231" s="244"/>
      <c r="Y231" s="244">
        <f>SUM(Q231:X231)</f>
        <v>0</v>
      </c>
    </row>
    <row r="232" spans="1:25" ht="15.75" customHeight="1">
      <c r="A232" s="517" t="str">
        <f>IF(Resumo!A19="x",Resumo!A19,"")</f>
        <v/>
      </c>
      <c r="B232" s="517"/>
      <c r="C232" s="266" t="s">
        <v>295</v>
      </c>
      <c r="D232" s="267" t="s">
        <v>47</v>
      </c>
      <c r="E232" s="268" t="s">
        <v>336</v>
      </c>
      <c r="F232" s="269" t="s">
        <v>95</v>
      </c>
      <c r="G232" s="270">
        <v>8.3333333333333301E-2</v>
      </c>
      <c r="H232" s="76"/>
      <c r="I232" s="271"/>
      <c r="J232" s="272"/>
      <c r="K232" s="273"/>
      <c r="L232" s="274"/>
      <c r="M232" s="274"/>
      <c r="N232" s="275"/>
      <c r="O232" s="275"/>
      <c r="P232" s="275"/>
      <c r="Q232" s="275"/>
      <c r="R232" s="275"/>
      <c r="S232" s="275"/>
      <c r="T232" s="76"/>
      <c r="U232" s="76"/>
    </row>
    <row r="233" spans="1:25" ht="15.75" customHeight="1">
      <c r="A233" s="517"/>
      <c r="B233" s="517"/>
      <c r="C233" s="518" t="s">
        <v>337</v>
      </c>
      <c r="D233" s="267" t="s">
        <v>47</v>
      </c>
      <c r="E233" s="268" t="s">
        <v>338</v>
      </c>
      <c r="F233" s="269" t="s">
        <v>95</v>
      </c>
      <c r="G233" s="270">
        <v>4.1666666666666699E-2</v>
      </c>
      <c r="H233" s="76"/>
      <c r="I233" s="271"/>
      <c r="J233" s="272"/>
      <c r="K233" s="273"/>
      <c r="L233" s="274"/>
      <c r="M233" s="274"/>
      <c r="N233" s="275"/>
      <c r="O233" s="275"/>
      <c r="P233" s="275"/>
      <c r="Q233" s="275"/>
      <c r="R233" s="275"/>
      <c r="S233" s="275"/>
      <c r="T233" s="76"/>
      <c r="U233" s="76"/>
    </row>
    <row r="234" spans="1:25" ht="15.75" customHeight="1">
      <c r="A234" s="517"/>
      <c r="B234" s="517"/>
      <c r="C234" s="518"/>
      <c r="D234" s="267" t="s">
        <v>47</v>
      </c>
      <c r="E234" s="268" t="s">
        <v>339</v>
      </c>
      <c r="F234" s="269" t="s">
        <v>95</v>
      </c>
      <c r="G234" s="270">
        <v>4.1666666666666699E-2</v>
      </c>
      <c r="H234" s="76"/>
      <c r="I234" s="271"/>
      <c r="J234" s="272"/>
      <c r="K234" s="273"/>
      <c r="L234" s="274"/>
      <c r="M234" s="274"/>
      <c r="N234" s="275"/>
      <c r="O234" s="275"/>
      <c r="P234" s="275"/>
      <c r="Q234" s="275"/>
      <c r="R234" s="275"/>
      <c r="S234" s="275"/>
      <c r="T234" s="76"/>
      <c r="U234" s="76"/>
    </row>
    <row r="235" spans="1:25" ht="15.75" customHeight="1">
      <c r="A235" s="517"/>
      <c r="B235" s="517"/>
      <c r="C235" s="519" t="s">
        <v>200</v>
      </c>
      <c r="D235" s="267" t="s">
        <v>47</v>
      </c>
      <c r="E235" s="268" t="s">
        <v>340</v>
      </c>
      <c r="F235" s="269" t="s">
        <v>95</v>
      </c>
      <c r="G235" s="270">
        <v>4.1666666666666699E-2</v>
      </c>
      <c r="H235" s="76"/>
      <c r="I235" s="271"/>
      <c r="J235" s="272"/>
      <c r="K235" s="273"/>
      <c r="L235" s="274"/>
      <c r="M235" s="274"/>
      <c r="N235" s="275"/>
      <c r="O235" s="275"/>
      <c r="P235" s="275"/>
      <c r="Q235" s="275"/>
      <c r="R235" s="275"/>
      <c r="S235" s="275"/>
      <c r="T235" s="76"/>
      <c r="U235" s="76"/>
    </row>
    <row r="236" spans="1:25" ht="32.25" customHeight="1">
      <c r="A236" s="517"/>
      <c r="B236" s="517"/>
      <c r="C236" s="519"/>
      <c r="D236" s="267" t="s">
        <v>47</v>
      </c>
      <c r="E236" s="276" t="s">
        <v>341</v>
      </c>
      <c r="F236" s="269" t="s">
        <v>101</v>
      </c>
      <c r="G236" s="270">
        <v>4.1666666666666699E-2</v>
      </c>
      <c r="H236" s="76"/>
      <c r="I236" s="271"/>
      <c r="J236" s="272"/>
      <c r="K236" s="273"/>
      <c r="L236" s="274"/>
      <c r="M236" s="274"/>
      <c r="N236" s="275"/>
      <c r="O236" s="275"/>
      <c r="P236" s="275"/>
      <c r="Q236" s="275"/>
      <c r="R236" s="275"/>
      <c r="S236" s="275"/>
      <c r="T236" s="76"/>
      <c r="U236" s="76"/>
    </row>
    <row r="237" spans="1:25" ht="16.5" customHeight="1">
      <c r="A237" s="517"/>
      <c r="B237" s="517"/>
      <c r="C237" s="519" t="s">
        <v>165</v>
      </c>
      <c r="D237" s="267" t="s">
        <v>47</v>
      </c>
      <c r="E237" s="276" t="s">
        <v>342</v>
      </c>
      <c r="F237" s="269" t="s">
        <v>101</v>
      </c>
      <c r="G237" s="270">
        <v>2.0833333333333301E-2</v>
      </c>
      <c r="H237" s="76"/>
      <c r="I237" s="271"/>
      <c r="J237" s="272"/>
      <c r="K237" s="273"/>
      <c r="L237" s="274"/>
      <c r="M237" s="274"/>
      <c r="N237" s="275"/>
      <c r="O237" s="275"/>
      <c r="P237" s="275"/>
      <c r="Q237" s="275"/>
      <c r="R237" s="275"/>
      <c r="S237" s="275"/>
      <c r="T237" s="76"/>
      <c r="U237" s="76"/>
    </row>
    <row r="238" spans="1:25" ht="15.75" customHeight="1">
      <c r="A238" s="517"/>
      <c r="B238" s="517"/>
      <c r="C238" s="517"/>
      <c r="D238" s="267" t="s">
        <v>47</v>
      </c>
      <c r="E238" s="268" t="s">
        <v>343</v>
      </c>
      <c r="F238" s="269" t="s">
        <v>101</v>
      </c>
      <c r="G238" s="270">
        <v>2.0833333333333301E-2</v>
      </c>
      <c r="H238" s="76"/>
      <c r="I238" s="271"/>
      <c r="J238" s="272"/>
      <c r="K238" s="273"/>
      <c r="L238" s="274"/>
      <c r="M238" s="274"/>
      <c r="N238" s="275"/>
      <c r="O238" s="275"/>
      <c r="P238" s="275"/>
      <c r="Q238" s="275"/>
      <c r="R238" s="275"/>
      <c r="S238" s="275"/>
      <c r="T238" s="76"/>
      <c r="U238" s="76"/>
    </row>
    <row r="239" spans="1:25" s="280" customFormat="1" ht="27" customHeight="1">
      <c r="A239" s="277"/>
      <c r="B239" s="520" t="s">
        <v>60</v>
      </c>
      <c r="C239" s="520"/>
      <c r="D239" s="520"/>
      <c r="E239" s="278"/>
      <c r="F239" s="277"/>
      <c r="G239" s="218">
        <f>ROUNDUP(IF($A$240="x",SUMIF($D$240:$D$247,"x",$G$240:$G$247)*24,0),0)</f>
        <v>0</v>
      </c>
      <c r="H239" s="219"/>
      <c r="I239" s="279">
        <f>ROUNDUP(IF($A$240="x",SUMIF($D$240:$D$247,"x",$I$240:$I$247)*24,0),0)</f>
        <v>0</v>
      </c>
      <c r="J239" s="221"/>
      <c r="K239" s="222"/>
      <c r="L239" s="223">
        <v>0</v>
      </c>
      <c r="M239" s="223">
        <f>$G$239*0.125</f>
        <v>0</v>
      </c>
      <c r="N239" s="223">
        <f>$G$239*0.2083 + IF(Resumo!$C$7 = "SIM",$G$239*0.2083*0.3,0)</f>
        <v>0</v>
      </c>
      <c r="O239" s="223">
        <f>$G$239*0.3333</f>
        <v>0</v>
      </c>
      <c r="P239" s="223">
        <f>$G$239*0.0854 + IF(Resumo!$C$7 = "SIM",$G$239*0.0854*0.3,0)</f>
        <v>0</v>
      </c>
      <c r="Q239" s="223">
        <f>($G$239*0.25)*Resumo!P9</f>
        <v>0</v>
      </c>
      <c r="R239" s="223">
        <f>$G$239*0</f>
        <v>0</v>
      </c>
      <c r="S239" s="223">
        <v>0</v>
      </c>
      <c r="T239" s="76"/>
      <c r="U239" s="76"/>
      <c r="V239" s="89"/>
      <c r="W239" s="61"/>
      <c r="X239" s="89"/>
      <c r="Y239" s="89">
        <f>SUM(Q239:X239)</f>
        <v>0</v>
      </c>
    </row>
    <row r="240" spans="1:25" ht="15.75" customHeight="1">
      <c r="A240" s="521" t="str">
        <f>IF(Resumo!A27="x",Resumo!A27,"")</f>
        <v/>
      </c>
      <c r="B240" s="521"/>
      <c r="C240" s="522" t="s">
        <v>295</v>
      </c>
      <c r="D240" s="283" t="s">
        <v>47</v>
      </c>
      <c r="E240" s="284" t="s">
        <v>344</v>
      </c>
      <c r="F240" s="285" t="s">
        <v>95</v>
      </c>
      <c r="G240" s="286">
        <v>4.1666666666666699E-2</v>
      </c>
      <c r="H240" s="76"/>
      <c r="I240" s="287"/>
      <c r="J240" s="288"/>
      <c r="K240" s="281"/>
      <c r="L240" s="285"/>
      <c r="M240" s="285"/>
      <c r="N240" s="289"/>
      <c r="O240" s="289"/>
      <c r="P240" s="289"/>
      <c r="Q240" s="289"/>
      <c r="R240" s="289"/>
      <c r="S240" s="289"/>
      <c r="T240" s="76"/>
      <c r="U240" s="76"/>
    </row>
    <row r="241" spans="1:21" ht="15.75" customHeight="1">
      <c r="A241" s="521"/>
      <c r="B241" s="521"/>
      <c r="C241" s="521"/>
      <c r="D241" s="283" t="s">
        <v>47</v>
      </c>
      <c r="E241" s="284" t="s">
        <v>345</v>
      </c>
      <c r="F241" s="285" t="s">
        <v>95</v>
      </c>
      <c r="G241" s="286">
        <v>2.0833333333333301E-2</v>
      </c>
      <c r="H241" s="76"/>
      <c r="I241" s="287"/>
      <c r="J241" s="288"/>
      <c r="K241" s="281"/>
      <c r="L241" s="285"/>
      <c r="M241" s="285"/>
      <c r="N241" s="289"/>
      <c r="O241" s="289"/>
      <c r="P241" s="289"/>
      <c r="Q241" s="289"/>
      <c r="R241" s="289"/>
      <c r="S241" s="289"/>
      <c r="T241" s="76"/>
      <c r="U241" s="76"/>
    </row>
    <row r="242" spans="1:21" ht="15.75" customHeight="1">
      <c r="A242" s="521"/>
      <c r="B242" s="521"/>
      <c r="C242" s="521"/>
      <c r="D242" s="283" t="s">
        <v>47</v>
      </c>
      <c r="E242" s="284" t="s">
        <v>346</v>
      </c>
      <c r="F242" s="285" t="s">
        <v>95</v>
      </c>
      <c r="G242" s="286">
        <v>2.0833333333333301E-2</v>
      </c>
      <c r="H242" s="76"/>
      <c r="I242" s="287"/>
      <c r="J242" s="288"/>
      <c r="K242" s="281"/>
      <c r="L242" s="285"/>
      <c r="M242" s="285"/>
      <c r="N242" s="289"/>
      <c r="O242" s="289"/>
      <c r="P242" s="289"/>
      <c r="Q242" s="289"/>
      <c r="R242" s="289"/>
      <c r="S242" s="289"/>
      <c r="T242" s="76"/>
      <c r="U242" s="76"/>
    </row>
    <row r="243" spans="1:21" ht="15.75" customHeight="1">
      <c r="A243" s="521"/>
      <c r="B243" s="521"/>
      <c r="C243" s="521"/>
      <c r="D243" s="283" t="s">
        <v>47</v>
      </c>
      <c r="E243" s="284" t="s">
        <v>347</v>
      </c>
      <c r="F243" s="285" t="s">
        <v>95</v>
      </c>
      <c r="G243" s="286">
        <v>6.25E-2</v>
      </c>
      <c r="H243" s="76"/>
      <c r="I243" s="287"/>
      <c r="J243" s="288"/>
      <c r="K243" s="281"/>
      <c r="L243" s="285"/>
      <c r="M243" s="285"/>
      <c r="N243" s="289"/>
      <c r="O243" s="289"/>
      <c r="P243" s="289"/>
      <c r="Q243" s="289"/>
      <c r="R243" s="289"/>
      <c r="S243" s="289"/>
      <c r="T243" s="76"/>
      <c r="U243" s="76"/>
    </row>
    <row r="244" spans="1:21" ht="15.75" customHeight="1">
      <c r="A244" s="521"/>
      <c r="B244" s="521"/>
      <c r="C244" s="522"/>
      <c r="D244" s="283" t="s">
        <v>47</v>
      </c>
      <c r="E244" s="284" t="s">
        <v>348</v>
      </c>
      <c r="F244" s="285" t="s">
        <v>101</v>
      </c>
      <c r="G244" s="286">
        <v>6.25E-2</v>
      </c>
      <c r="H244" s="76"/>
      <c r="I244" s="287"/>
      <c r="J244" s="288"/>
      <c r="K244" s="281"/>
      <c r="L244" s="285"/>
      <c r="M244" s="285"/>
      <c r="N244" s="289"/>
      <c r="O244" s="289"/>
      <c r="P244" s="289"/>
      <c r="Q244" s="289"/>
      <c r="R244" s="289"/>
      <c r="S244" s="289"/>
      <c r="T244" s="76"/>
      <c r="U244" s="76"/>
    </row>
    <row r="245" spans="1:21" ht="15.75" customHeight="1">
      <c r="A245" s="521"/>
      <c r="B245" s="521"/>
      <c r="C245" s="282" t="s">
        <v>327</v>
      </c>
      <c r="D245" s="283" t="s">
        <v>47</v>
      </c>
      <c r="E245" s="284" t="s">
        <v>349</v>
      </c>
      <c r="F245" s="285" t="s">
        <v>95</v>
      </c>
      <c r="G245" s="286">
        <v>6.25E-2</v>
      </c>
      <c r="H245" s="76"/>
      <c r="I245" s="287"/>
      <c r="J245" s="288"/>
      <c r="K245" s="281"/>
      <c r="L245" s="285"/>
      <c r="M245" s="285"/>
      <c r="N245" s="289"/>
      <c r="O245" s="289"/>
      <c r="P245" s="289"/>
      <c r="Q245" s="289"/>
      <c r="R245" s="289"/>
      <c r="S245" s="289"/>
      <c r="T245" s="76"/>
      <c r="U245" s="76"/>
    </row>
    <row r="246" spans="1:21" ht="15.75" customHeight="1">
      <c r="A246" s="521"/>
      <c r="B246" s="521"/>
      <c r="C246" s="522" t="s">
        <v>350</v>
      </c>
      <c r="D246" s="283" t="s">
        <v>47</v>
      </c>
      <c r="E246" s="284" t="s">
        <v>350</v>
      </c>
      <c r="F246" s="285" t="s">
        <v>95</v>
      </c>
      <c r="G246" s="286">
        <v>8.3333333333333301E-2</v>
      </c>
      <c r="H246" s="76"/>
      <c r="I246" s="287">
        <f>IF(Resumo!$C$5="ALIARE - SOLUTION", 'Aliare Integra Solution'!$AC$110, 'Aliare Integra ERP Terceiro'!$AC$110)</f>
        <v>0</v>
      </c>
      <c r="J246" s="288"/>
      <c r="K246" s="281"/>
      <c r="L246" s="285"/>
      <c r="M246" s="285"/>
      <c r="N246" s="289"/>
      <c r="O246" s="289"/>
      <c r="P246" s="289"/>
      <c r="Q246" s="289"/>
      <c r="R246" s="289"/>
      <c r="S246" s="289"/>
      <c r="T246" s="76"/>
      <c r="U246" s="76"/>
    </row>
    <row r="247" spans="1:21" ht="15.75" customHeight="1">
      <c r="A247" s="521"/>
      <c r="B247" s="521"/>
      <c r="C247" s="521"/>
      <c r="D247" s="283" t="s">
        <v>47</v>
      </c>
      <c r="E247" s="284" t="s">
        <v>351</v>
      </c>
      <c r="F247" s="285" t="s">
        <v>101</v>
      </c>
      <c r="G247" s="286">
        <v>4.1666666666666699E-2</v>
      </c>
      <c r="H247" s="76"/>
      <c r="I247" s="287"/>
      <c r="J247" s="288"/>
      <c r="K247" s="281"/>
      <c r="L247" s="285"/>
      <c r="M247" s="285"/>
      <c r="N247" s="289"/>
      <c r="O247" s="289"/>
      <c r="P247" s="289"/>
      <c r="Q247" s="289"/>
      <c r="R247" s="289"/>
      <c r="S247" s="289"/>
      <c r="T247" s="76"/>
      <c r="U247" s="76"/>
    </row>
    <row r="248" spans="1:21" ht="15.75" customHeight="1">
      <c r="A248" s="290"/>
      <c r="B248" s="512" t="s">
        <v>58</v>
      </c>
      <c r="C248" s="512"/>
      <c r="D248" s="512"/>
      <c r="E248" s="291"/>
      <c r="F248" s="290"/>
      <c r="G248" s="292">
        <f>ROUNDUP(IF($A$249="x",SUMIF($D$249:$D$263,"x",$G$249:$G$263)*24,0),0)</f>
        <v>0</v>
      </c>
      <c r="H248" s="293"/>
      <c r="I248" s="294">
        <f>ROUNDUP(IF($A$249="x",SUMIF($D$249:$D$263,"x",$I$249:$I$263)*24,0),0)</f>
        <v>0</v>
      </c>
      <c r="J248" s="295"/>
      <c r="K248" s="296"/>
      <c r="L248" s="297">
        <v>0</v>
      </c>
      <c r="M248" s="297">
        <f>$G$248*0.1875</f>
        <v>0</v>
      </c>
      <c r="N248" s="297">
        <f>$G$248*0.25 + IF(Resumo!$C$7 = "SIM",$G$248*0.25*0.3,0)</f>
        <v>0</v>
      </c>
      <c r="O248" s="297">
        <f>$G$248*0.25</f>
        <v>0</v>
      </c>
      <c r="P248" s="297">
        <f>$G$248*0.0615 + IF(Resumo!$C$7 = "SIM",$G$248*0.0615*0.3,0)</f>
        <v>0</v>
      </c>
      <c r="Q248" s="297">
        <f>($G$248*0.25)*Resumo!P9</f>
        <v>0</v>
      </c>
      <c r="R248" s="297">
        <v>0</v>
      </c>
      <c r="S248" s="297">
        <v>0</v>
      </c>
      <c r="T248" s="76"/>
      <c r="U248" s="76"/>
    </row>
    <row r="249" spans="1:21" ht="15.75" customHeight="1">
      <c r="A249" s="513" t="str">
        <f>IF(Resumo!A25="x",Resumo!A25,"")</f>
        <v/>
      </c>
      <c r="B249" s="513"/>
      <c r="C249" s="514" t="s">
        <v>295</v>
      </c>
      <c r="D249" s="299" t="s">
        <v>47</v>
      </c>
      <c r="E249" s="300" t="s">
        <v>352</v>
      </c>
      <c r="F249" s="301" t="s">
        <v>101</v>
      </c>
      <c r="G249" s="302">
        <v>2.0833333333333301E-2</v>
      </c>
      <c r="H249" s="76"/>
      <c r="I249" s="303"/>
      <c r="J249" s="304"/>
      <c r="K249" s="298"/>
      <c r="L249" s="301"/>
      <c r="M249" s="301"/>
      <c r="N249" s="305"/>
      <c r="O249" s="305"/>
      <c r="P249" s="305"/>
      <c r="Q249" s="305"/>
      <c r="R249" s="305"/>
      <c r="S249" s="305"/>
      <c r="T249" s="76"/>
    </row>
    <row r="250" spans="1:21" ht="15.75" customHeight="1">
      <c r="A250" s="513"/>
      <c r="B250" s="513"/>
      <c r="C250" s="513"/>
      <c r="D250" s="299" t="s">
        <v>47</v>
      </c>
      <c r="E250" s="300" t="s">
        <v>353</v>
      </c>
      <c r="F250" s="301" t="s">
        <v>101</v>
      </c>
      <c r="G250" s="302">
        <v>2.0833333333333301E-2</v>
      </c>
      <c r="H250" s="76"/>
      <c r="I250" s="303"/>
      <c r="J250" s="304"/>
      <c r="K250" s="298"/>
      <c r="L250" s="301"/>
      <c r="M250" s="301"/>
      <c r="N250" s="305"/>
      <c r="O250" s="305"/>
      <c r="P250" s="305"/>
      <c r="Q250" s="305"/>
      <c r="R250" s="305"/>
      <c r="S250" s="305"/>
      <c r="T250" s="76"/>
    </row>
    <row r="251" spans="1:21" ht="15.75" customHeight="1">
      <c r="A251" s="513"/>
      <c r="B251" s="513"/>
      <c r="C251" s="513"/>
      <c r="D251" s="299" t="s">
        <v>47</v>
      </c>
      <c r="E251" s="300" t="s">
        <v>354</v>
      </c>
      <c r="F251" s="301" t="s">
        <v>101</v>
      </c>
      <c r="G251" s="302">
        <v>2.0833333333333301E-2</v>
      </c>
      <c r="H251" s="76"/>
      <c r="I251" s="303"/>
      <c r="J251" s="304"/>
      <c r="K251" s="298"/>
      <c r="L251" s="301"/>
      <c r="M251" s="301"/>
      <c r="N251" s="305"/>
      <c r="O251" s="305"/>
      <c r="P251" s="305"/>
      <c r="Q251" s="305"/>
      <c r="R251" s="305"/>
      <c r="S251" s="305"/>
      <c r="T251" s="76"/>
    </row>
    <row r="252" spans="1:21" ht="15.75" customHeight="1">
      <c r="A252" s="513"/>
      <c r="B252" s="513"/>
      <c r="C252" s="513"/>
      <c r="D252" s="299" t="s">
        <v>47</v>
      </c>
      <c r="E252" s="300" t="s">
        <v>355</v>
      </c>
      <c r="F252" s="301" t="s">
        <v>101</v>
      </c>
      <c r="G252" s="302">
        <v>2.0833333333333301E-2</v>
      </c>
      <c r="H252" s="76"/>
      <c r="I252" s="303"/>
      <c r="J252" s="304"/>
      <c r="K252" s="298"/>
      <c r="L252" s="301"/>
      <c r="M252" s="301"/>
      <c r="N252" s="305"/>
      <c r="O252" s="305"/>
      <c r="P252" s="305"/>
      <c r="Q252" s="305"/>
      <c r="R252" s="305"/>
      <c r="S252" s="305"/>
    </row>
    <row r="253" spans="1:21" ht="15.75" customHeight="1">
      <c r="A253" s="513"/>
      <c r="B253" s="513"/>
      <c r="C253" s="513"/>
      <c r="D253" s="299" t="s">
        <v>47</v>
      </c>
      <c r="E253" s="300" t="s">
        <v>124</v>
      </c>
      <c r="F253" s="301" t="s">
        <v>101</v>
      </c>
      <c r="G253" s="302">
        <v>2.0833333333333301E-2</v>
      </c>
      <c r="H253" s="76"/>
      <c r="I253" s="303"/>
      <c r="J253" s="304"/>
      <c r="K253" s="298"/>
      <c r="L253" s="301"/>
      <c r="M253" s="301"/>
      <c r="N253" s="305"/>
      <c r="O253" s="305"/>
      <c r="P253" s="305"/>
      <c r="Q253" s="305"/>
      <c r="R253" s="305"/>
      <c r="S253" s="305"/>
    </row>
    <row r="254" spans="1:21" ht="15.75" customHeight="1">
      <c r="A254" s="513"/>
      <c r="B254" s="513"/>
      <c r="C254" s="514"/>
      <c r="D254" s="299" t="s">
        <v>47</v>
      </c>
      <c r="E254" s="300" t="s">
        <v>356</v>
      </c>
      <c r="F254" s="301" t="s">
        <v>95</v>
      </c>
      <c r="G254" s="302">
        <v>6.25E-2</v>
      </c>
      <c r="H254" s="76"/>
      <c r="I254" s="303"/>
      <c r="J254" s="304"/>
      <c r="K254" s="298"/>
      <c r="L254" s="301"/>
      <c r="M254" s="301"/>
      <c r="N254" s="305"/>
      <c r="O254" s="305"/>
      <c r="P254" s="305"/>
      <c r="Q254" s="305"/>
      <c r="R254" s="305"/>
      <c r="S254" s="305"/>
    </row>
    <row r="255" spans="1:21" ht="15.75" customHeight="1">
      <c r="A255" s="513"/>
      <c r="B255" s="513"/>
      <c r="C255" s="514" t="s">
        <v>327</v>
      </c>
      <c r="D255" s="299" t="s">
        <v>47</v>
      </c>
      <c r="E255" s="300" t="s">
        <v>357</v>
      </c>
      <c r="F255" s="301" t="s">
        <v>95</v>
      </c>
      <c r="G255" s="302">
        <v>6.25E-2</v>
      </c>
      <c r="H255" s="76"/>
      <c r="I255" s="303"/>
      <c r="J255" s="304"/>
      <c r="K255" s="298"/>
      <c r="L255" s="301"/>
      <c r="M255" s="301"/>
      <c r="N255" s="305"/>
      <c r="O255" s="305"/>
      <c r="P255" s="305"/>
      <c r="Q255" s="305"/>
      <c r="R255" s="305"/>
      <c r="S255" s="305"/>
    </row>
    <row r="256" spans="1:21" ht="15.75" customHeight="1">
      <c r="A256" s="513"/>
      <c r="B256" s="513"/>
      <c r="C256" s="513"/>
      <c r="D256" s="299" t="s">
        <v>47</v>
      </c>
      <c r="E256" s="300" t="s">
        <v>358</v>
      </c>
      <c r="F256" s="301" t="s">
        <v>95</v>
      </c>
      <c r="G256" s="302">
        <v>4.1666666666666699E-2</v>
      </c>
      <c r="H256" s="76"/>
      <c r="I256" s="303"/>
      <c r="J256" s="304"/>
      <c r="K256" s="298"/>
      <c r="L256" s="301"/>
      <c r="M256" s="301"/>
      <c r="N256" s="305"/>
      <c r="O256" s="305"/>
      <c r="P256" s="305"/>
      <c r="Q256" s="305"/>
      <c r="R256" s="305"/>
      <c r="S256" s="305"/>
    </row>
    <row r="257" spans="1:26" ht="15.75" customHeight="1">
      <c r="A257" s="513"/>
      <c r="B257" s="513"/>
      <c r="C257" s="514"/>
      <c r="D257" s="299" t="s">
        <v>47</v>
      </c>
      <c r="E257" s="300" t="s">
        <v>359</v>
      </c>
      <c r="F257" s="301" t="s">
        <v>95</v>
      </c>
      <c r="G257" s="302">
        <v>6.25E-2</v>
      </c>
      <c r="H257" s="76"/>
      <c r="I257" s="303"/>
      <c r="J257" s="304"/>
      <c r="K257" s="298"/>
      <c r="L257" s="301"/>
      <c r="M257" s="301"/>
      <c r="N257" s="305"/>
      <c r="O257" s="305"/>
      <c r="P257" s="305"/>
      <c r="Q257" s="305"/>
      <c r="R257" s="305"/>
      <c r="S257" s="305"/>
    </row>
    <row r="258" spans="1:26" ht="15.75" customHeight="1">
      <c r="A258" s="513"/>
      <c r="B258" s="513"/>
      <c r="C258" s="514" t="s">
        <v>360</v>
      </c>
      <c r="D258" s="299" t="s">
        <v>47</v>
      </c>
      <c r="E258" s="300" t="s">
        <v>361</v>
      </c>
      <c r="F258" s="301" t="s">
        <v>101</v>
      </c>
      <c r="G258" s="302">
        <v>3.125E-2</v>
      </c>
      <c r="H258" s="76"/>
      <c r="I258" s="303"/>
      <c r="J258" s="304"/>
      <c r="K258" s="298"/>
      <c r="L258" s="301"/>
      <c r="M258" s="301"/>
      <c r="N258" s="305"/>
      <c r="O258" s="305"/>
      <c r="P258" s="305"/>
      <c r="Q258" s="305"/>
      <c r="R258" s="305"/>
      <c r="S258" s="305"/>
    </row>
    <row r="259" spans="1:26" ht="15.75" customHeight="1">
      <c r="A259" s="513"/>
      <c r="B259" s="513"/>
      <c r="C259" s="514"/>
      <c r="D259" s="299" t="s">
        <v>47</v>
      </c>
      <c r="E259" s="300" t="s">
        <v>360</v>
      </c>
      <c r="F259" s="301" t="s">
        <v>95</v>
      </c>
      <c r="G259" s="302">
        <v>8.3333333333333301E-2</v>
      </c>
      <c r="H259" s="76"/>
      <c r="I259" s="303"/>
      <c r="J259" s="304"/>
      <c r="K259" s="298"/>
      <c r="L259" s="301"/>
      <c r="M259" s="301"/>
      <c r="N259" s="305"/>
      <c r="O259" s="305"/>
      <c r="P259" s="305"/>
      <c r="Q259" s="305"/>
      <c r="R259" s="305"/>
      <c r="S259" s="305"/>
    </row>
    <row r="260" spans="1:26" ht="15.75" customHeight="1">
      <c r="A260" s="513"/>
      <c r="B260" s="513"/>
      <c r="C260" s="514" t="s">
        <v>165</v>
      </c>
      <c r="D260" s="299" t="s">
        <v>47</v>
      </c>
      <c r="E260" s="300" t="s">
        <v>354</v>
      </c>
      <c r="F260" s="301" t="s">
        <v>101</v>
      </c>
      <c r="G260" s="302">
        <v>2.0833333333333301E-2</v>
      </c>
      <c r="H260" s="76"/>
      <c r="I260" s="303"/>
      <c r="J260" s="304"/>
      <c r="K260" s="298"/>
      <c r="L260" s="301"/>
      <c r="M260" s="301"/>
      <c r="N260" s="305"/>
      <c r="O260" s="305"/>
      <c r="P260" s="305"/>
      <c r="Q260" s="305"/>
      <c r="R260" s="305"/>
      <c r="S260" s="305"/>
    </row>
    <row r="261" spans="1:26" ht="15.75" customHeight="1">
      <c r="A261" s="513"/>
      <c r="B261" s="513"/>
      <c r="C261" s="514"/>
      <c r="D261" s="299"/>
      <c r="E261" s="300" t="s">
        <v>362</v>
      </c>
      <c r="F261" s="301" t="s">
        <v>101</v>
      </c>
      <c r="G261" s="302">
        <v>2.0833333333333301E-2</v>
      </c>
      <c r="H261" s="76"/>
      <c r="I261" s="303"/>
      <c r="J261" s="304"/>
      <c r="K261" s="298"/>
      <c r="L261" s="301"/>
      <c r="M261" s="301"/>
      <c r="N261" s="305"/>
      <c r="O261" s="305"/>
      <c r="P261" s="305"/>
      <c r="Q261" s="305"/>
      <c r="R261" s="305"/>
      <c r="S261" s="305"/>
    </row>
    <row r="262" spans="1:26" ht="15.75" customHeight="1">
      <c r="A262" s="513"/>
      <c r="B262" s="513"/>
      <c r="C262" s="514" t="s">
        <v>317</v>
      </c>
      <c r="D262" s="299" t="s">
        <v>47</v>
      </c>
      <c r="E262" s="300" t="s">
        <v>363</v>
      </c>
      <c r="F262" s="301" t="s">
        <v>101</v>
      </c>
      <c r="G262" s="302">
        <v>4.1666666666666699E-2</v>
      </c>
      <c r="H262" s="76"/>
      <c r="I262" s="303"/>
      <c r="J262" s="304"/>
      <c r="K262" s="298"/>
      <c r="L262" s="301"/>
      <c r="M262" s="301"/>
      <c r="N262" s="305"/>
      <c r="O262" s="305"/>
      <c r="P262" s="305"/>
      <c r="Q262" s="305"/>
      <c r="R262" s="305"/>
      <c r="S262" s="305"/>
    </row>
    <row r="263" spans="1:26" ht="15.75" customHeight="1">
      <c r="A263" s="513"/>
      <c r="B263" s="513"/>
      <c r="C263" s="513"/>
      <c r="D263" s="299" t="s">
        <v>47</v>
      </c>
      <c r="E263" s="300" t="s">
        <v>364</v>
      </c>
      <c r="F263" s="301" t="s">
        <v>101</v>
      </c>
      <c r="G263" s="302">
        <v>4.1666666666666699E-2</v>
      </c>
      <c r="H263" s="76"/>
      <c r="I263" s="303"/>
      <c r="J263" s="304"/>
      <c r="K263" s="298"/>
      <c r="L263" s="301"/>
      <c r="M263" s="301"/>
      <c r="N263" s="305"/>
      <c r="O263" s="305"/>
      <c r="P263" s="305"/>
      <c r="Q263" s="305"/>
      <c r="R263" s="305"/>
      <c r="S263" s="305"/>
    </row>
    <row r="264" spans="1:26" s="314" customFormat="1" ht="15.75" customHeight="1">
      <c r="A264" s="306"/>
      <c r="B264" s="515" t="s">
        <v>365</v>
      </c>
      <c r="C264" s="515"/>
      <c r="D264" s="515"/>
      <c r="E264" s="307"/>
      <c r="F264" s="306"/>
      <c r="G264" s="308">
        <f>ROUNDUP(IF($A$265="x",SUMIF($D$265:$D$273,"x",$G$265:$G$273)*24,0),0)</f>
        <v>0</v>
      </c>
      <c r="H264" s="309"/>
      <c r="I264" s="310">
        <f>ROUNDUP(IF(AND($A$265="x",$A$127&lt;&gt;"x",$A$101&lt;&gt;"x"),SUMIF($D$265:$D$273,"x",$I$265:$I$273)*24,0),0)</f>
        <v>0</v>
      </c>
      <c r="J264" s="311"/>
      <c r="K264" s="312"/>
      <c r="L264" s="313">
        <f>ROUNDUP(IF(AND($A$265="x",$A$127&lt;&gt;"x",$A$101&lt;&gt;"x"),SUMIF($D$265:$D$273,"x",$L$265:$L$273)*24,0),0)</f>
        <v>0</v>
      </c>
      <c r="M264" s="313">
        <f>$G$264*0.1875</f>
        <v>0</v>
      </c>
      <c r="N264" s="313">
        <f>$G$264*0.25 + IF(Resumo!$C$7 = "SIM",$G$264*0.25*0.3,0)</f>
        <v>0</v>
      </c>
      <c r="O264" s="313">
        <f>$G$264*0.25</f>
        <v>0</v>
      </c>
      <c r="P264" s="313">
        <f>$G$264*0.0615 + IF(Resumo!$C$7 = "SIM",$G$264*0.0615*0.3,0)</f>
        <v>0</v>
      </c>
      <c r="Q264" s="313">
        <f>($G$264*0.25)*Resumo!P9</f>
        <v>0</v>
      </c>
      <c r="R264" s="313">
        <v>0</v>
      </c>
      <c r="S264" s="313">
        <v>0</v>
      </c>
      <c r="T264" s="61"/>
      <c r="U264" s="61"/>
      <c r="V264" s="61"/>
      <c r="W264" s="61"/>
      <c r="X264" s="61"/>
      <c r="Y264" s="61"/>
      <c r="Z264" s="61"/>
    </row>
    <row r="265" spans="1:26" ht="15.75" customHeight="1">
      <c r="A265" s="508" t="str">
        <f>IF(Resumo!A20="x",Resumo!A20,"")</f>
        <v/>
      </c>
      <c r="B265" s="508"/>
      <c r="C265" s="509" t="s">
        <v>200</v>
      </c>
      <c r="D265" s="267" t="s">
        <v>204</v>
      </c>
      <c r="E265" s="268" t="s">
        <v>366</v>
      </c>
      <c r="F265" s="269" t="s">
        <v>101</v>
      </c>
      <c r="G265" s="270">
        <v>4.1666666666666699E-2</v>
      </c>
      <c r="H265" s="76"/>
      <c r="I265" s="510">
        <f>IF(Resumo!$C$5="ALIARE - SOLUTION", 'Aliare Integra Solution'!AC24, 'Aliare Integra ERP Terceiro'!AC24)</f>
        <v>0</v>
      </c>
      <c r="J265" s="511" t="str">
        <f>IF(OR(Resumo!$C$5="ALIARE - AGB", Resumo!$C$5="SIMER",Resumo!$C$5="ALIARE - SOLUTION"), _xlfn.CONCAT('Aliare Integra Solution'!A24,'Aliare Integra Solution'!A25,'Aliare Integra Solution'!A26), _xlfn.CONCAT('Aliare Integra ERP Terceiro'!A24,'Aliare Integra ERP Terceiro'!A25,'Aliare Integra ERP Terceiro'!A26))</f>
        <v>Movimentação financeira - Local nota fiscalMovimentação financeira - Faturamento mensal - Parte 1Movimentação financeira - Faturamento mensal - Parte 2</v>
      </c>
      <c r="K265" s="511" t="str">
        <f>IF(Resumo!$C$5="ALIARE - SOLUTION", _xlfn.CONCAT('Aliare Integra Solution'!B24,'Aliare Integra Solution'!B25), _xlfn.CONCAT('Aliare Integra ERP Terceiro'!B24,'Aliare Integra ERP Terceiro'!B25))</f>
        <v>3.1 Local Nota Fiscal3.2 Pedidos em Carteira (Fat. Mensal)</v>
      </c>
      <c r="L265" s="510">
        <f>IF(OR(Resumo!$C$5="ALIARE - AGB", Resumo!$C$5="SIMER", Resumo!$C$5="ALIARE - SOLUTION"), 'Aliare Integra Solution'!AD24+'Aliare Integra Solution'!AD25, 'Aliare Integra ERP Terceiro'!AD24+'Aliare Integra ERP Terceiro'!AD25)</f>
        <v>0</v>
      </c>
      <c r="M265" s="270"/>
      <c r="N265" s="270"/>
      <c r="O265" s="270"/>
      <c r="P265" s="270"/>
      <c r="Q265" s="270"/>
      <c r="R265" s="270"/>
      <c r="S265" s="270"/>
    </row>
    <row r="266" spans="1:26" ht="15.75" customHeight="1">
      <c r="A266" s="508"/>
      <c r="B266" s="508"/>
      <c r="C266" s="508"/>
      <c r="D266" s="267" t="s">
        <v>204</v>
      </c>
      <c r="E266" s="268" t="s">
        <v>367</v>
      </c>
      <c r="F266" s="269" t="s">
        <v>101</v>
      </c>
      <c r="G266" s="270">
        <v>4.1666666666666699E-2</v>
      </c>
      <c r="H266" s="76"/>
      <c r="I266" s="510"/>
      <c r="J266" s="510"/>
      <c r="K266" s="510"/>
      <c r="L266" s="510"/>
      <c r="M266" s="270"/>
      <c r="N266" s="270"/>
      <c r="O266" s="270"/>
      <c r="P266" s="270"/>
      <c r="Q266" s="270"/>
      <c r="R266" s="270"/>
      <c r="S266" s="270"/>
    </row>
    <row r="267" spans="1:26" ht="15.75" customHeight="1">
      <c r="A267" s="508"/>
      <c r="B267" s="508"/>
      <c r="C267" s="508"/>
      <c r="D267" s="267" t="s">
        <v>204</v>
      </c>
      <c r="E267" s="268" t="s">
        <v>368</v>
      </c>
      <c r="F267" s="269" t="s">
        <v>101</v>
      </c>
      <c r="G267" s="270">
        <v>4.1666666666666699E-2</v>
      </c>
      <c r="H267" s="76"/>
      <c r="I267" s="510"/>
      <c r="J267" s="510"/>
      <c r="K267" s="510"/>
      <c r="L267" s="510"/>
      <c r="M267" s="270"/>
      <c r="N267" s="270"/>
      <c r="O267" s="270"/>
      <c r="P267" s="270"/>
      <c r="Q267" s="270"/>
      <c r="R267" s="270"/>
      <c r="S267" s="270"/>
    </row>
    <row r="268" spans="1:26" ht="15.75" customHeight="1">
      <c r="A268" s="508"/>
      <c r="B268" s="508"/>
      <c r="C268" s="508"/>
      <c r="D268" s="267" t="s">
        <v>47</v>
      </c>
      <c r="E268" s="268" t="s">
        <v>369</v>
      </c>
      <c r="F268" s="269" t="s">
        <v>101</v>
      </c>
      <c r="G268" s="270">
        <v>4.1666666666666699E-2</v>
      </c>
      <c r="H268" s="76"/>
      <c r="I268" s="270"/>
      <c r="J268" s="268"/>
      <c r="K268" s="268"/>
      <c r="L268" s="270"/>
      <c r="M268" s="270"/>
      <c r="N268" s="270"/>
      <c r="O268" s="270"/>
      <c r="P268" s="270"/>
      <c r="Q268" s="270"/>
      <c r="R268" s="270"/>
      <c r="S268" s="270"/>
    </row>
    <row r="269" spans="1:26" ht="15.75" customHeight="1">
      <c r="A269" s="508"/>
      <c r="B269" s="508"/>
      <c r="C269" s="509"/>
      <c r="D269" s="267" t="s">
        <v>47</v>
      </c>
      <c r="E269" s="268" t="s">
        <v>370</v>
      </c>
      <c r="F269" s="269" t="s">
        <v>101</v>
      </c>
      <c r="G269" s="270">
        <v>3.125E-2</v>
      </c>
      <c r="H269" s="76"/>
      <c r="I269" s="270"/>
      <c r="J269" s="268"/>
      <c r="K269" s="268"/>
      <c r="L269" s="270"/>
      <c r="M269" s="270"/>
      <c r="N269" s="270"/>
      <c r="O269" s="270"/>
      <c r="P269" s="270"/>
      <c r="Q269" s="270"/>
      <c r="R269" s="270"/>
      <c r="S269" s="270"/>
    </row>
    <row r="270" spans="1:26" ht="15.75" customHeight="1">
      <c r="A270" s="508"/>
      <c r="B270" s="508"/>
      <c r="C270" s="509" t="s">
        <v>327</v>
      </c>
      <c r="D270" s="267"/>
      <c r="E270" s="268" t="s">
        <v>371</v>
      </c>
      <c r="F270" s="269" t="s">
        <v>101</v>
      </c>
      <c r="G270" s="270">
        <v>2.0833333333333301E-2</v>
      </c>
      <c r="H270" s="76"/>
      <c r="I270" s="270"/>
      <c r="J270" s="268"/>
      <c r="K270" s="268"/>
      <c r="L270" s="270"/>
      <c r="M270" s="270"/>
      <c r="N270" s="270"/>
      <c r="O270" s="270"/>
      <c r="P270" s="270"/>
      <c r="Q270" s="270"/>
      <c r="R270" s="270"/>
      <c r="S270" s="270"/>
    </row>
    <row r="271" spans="1:26">
      <c r="A271" s="508"/>
      <c r="B271" s="508"/>
      <c r="C271" s="509"/>
      <c r="D271" s="267"/>
      <c r="E271" s="268" t="s">
        <v>372</v>
      </c>
      <c r="F271" s="269" t="s">
        <v>101</v>
      </c>
      <c r="G271" s="270">
        <v>2.0833333333333301E-2</v>
      </c>
      <c r="H271" s="76"/>
      <c r="I271" s="270"/>
      <c r="J271" s="268"/>
      <c r="K271" s="268"/>
      <c r="L271" s="270"/>
      <c r="M271" s="270"/>
      <c r="N271" s="270"/>
      <c r="O271" s="270"/>
      <c r="P271" s="270"/>
      <c r="Q271" s="270"/>
      <c r="R271" s="270"/>
      <c r="S271" s="270"/>
    </row>
    <row r="272" spans="1:26" ht="15.75" customHeight="1">
      <c r="A272" s="508"/>
      <c r="B272" s="508"/>
      <c r="C272" s="509" t="s">
        <v>165</v>
      </c>
      <c r="D272" s="267" t="s">
        <v>47</v>
      </c>
      <c r="E272" s="268" t="s">
        <v>373</v>
      </c>
      <c r="F272" s="269" t="s">
        <v>101</v>
      </c>
      <c r="G272" s="270">
        <v>6.25E-2</v>
      </c>
      <c r="H272" s="76"/>
      <c r="I272" s="270"/>
      <c r="J272" s="268"/>
      <c r="K272" s="268"/>
      <c r="L272" s="270"/>
      <c r="M272" s="270"/>
      <c r="N272" s="270"/>
      <c r="O272" s="270"/>
      <c r="P272" s="270"/>
      <c r="Q272" s="270"/>
      <c r="R272" s="270"/>
      <c r="S272" s="270"/>
    </row>
    <row r="273" spans="1:26">
      <c r="A273" s="508"/>
      <c r="B273" s="508"/>
      <c r="C273" s="509"/>
      <c r="D273" s="267" t="s">
        <v>47</v>
      </c>
      <c r="E273" s="268" t="s">
        <v>374</v>
      </c>
      <c r="F273" s="269" t="s">
        <v>101</v>
      </c>
      <c r="G273" s="270">
        <v>6.25E-2</v>
      </c>
      <c r="H273" s="76"/>
      <c r="I273" s="270"/>
      <c r="J273" s="268"/>
      <c r="K273" s="268"/>
      <c r="L273" s="270"/>
      <c r="M273" s="270"/>
      <c r="N273" s="270"/>
      <c r="O273" s="270"/>
      <c r="P273" s="270"/>
      <c r="Q273" s="270"/>
      <c r="R273" s="270"/>
      <c r="S273" s="270"/>
    </row>
    <row r="274" spans="1:26" s="323" customFormat="1" ht="18.75" customHeight="1">
      <c r="A274" s="315"/>
      <c r="B274" s="503" t="s">
        <v>375</v>
      </c>
      <c r="C274" s="503"/>
      <c r="D274" s="503"/>
      <c r="E274" s="316"/>
      <c r="F274" s="315"/>
      <c r="G274" s="317">
        <f>ROUNDUP(IF($A$275="x",SUMIF($D$275:$D$293,"x",$G$275:$G$293)*24,0),0)</f>
        <v>0</v>
      </c>
      <c r="H274" s="318"/>
      <c r="I274" s="319">
        <f>ROUNDUP(IF($A$240="x",SUMIF($D$275:$D$293,"x",$I$275:$I$293)*24,0),0)</f>
        <v>0</v>
      </c>
      <c r="J274" s="320"/>
      <c r="K274" s="321"/>
      <c r="L274" s="322">
        <f>ROUNDUP(IF(AND($A$275="x",$A$127&lt;&gt;"x",$A$101&lt;&gt;"x"),SUMIF($D$275:$D$293,"x",$L$275:$L$293)*24,0),0)</f>
        <v>0</v>
      </c>
      <c r="M274" s="322">
        <f>$G$274*0.1875</f>
        <v>0</v>
      </c>
      <c r="N274" s="322">
        <f>$G$274*0.25 + IF(Resumo!$C$7 = "SIM",$G$274*0.25*0.3,0)</f>
        <v>0</v>
      </c>
      <c r="O274" s="322">
        <f>$G$274*0.25</f>
        <v>0</v>
      </c>
      <c r="P274" s="322">
        <f>$G$274*0.0615 + IF(Resumo!$C$7 = "SIM",$G$274*0.0615*0.3,0)</f>
        <v>0</v>
      </c>
      <c r="Q274" s="322">
        <f>($G$274*0.25)*Resumo!P9</f>
        <v>0</v>
      </c>
      <c r="R274" s="322">
        <v>0</v>
      </c>
      <c r="S274" s="322">
        <v>0</v>
      </c>
      <c r="T274" s="61"/>
      <c r="U274" s="61"/>
      <c r="V274" s="61"/>
      <c r="W274" s="61"/>
      <c r="X274" s="61"/>
      <c r="Y274" s="61"/>
      <c r="Z274" s="61"/>
    </row>
    <row r="275" spans="1:26" ht="16.5" customHeight="1">
      <c r="A275" s="504" t="str">
        <f>IF(Resumo!A21="x",Resumo!A21,"")</f>
        <v/>
      </c>
      <c r="B275" s="505"/>
      <c r="C275" s="506" t="s">
        <v>295</v>
      </c>
      <c r="D275" s="324" t="s">
        <v>47</v>
      </c>
      <c r="E275" s="325" t="s">
        <v>376</v>
      </c>
      <c r="F275" s="326" t="s">
        <v>95</v>
      </c>
      <c r="G275" s="327">
        <v>6.25E-2</v>
      </c>
      <c r="H275" s="76"/>
      <c r="I275" s="326"/>
      <c r="J275" s="326"/>
      <c r="K275" s="326"/>
      <c r="L275" s="326"/>
      <c r="M275" s="326"/>
      <c r="N275" s="326"/>
      <c r="O275" s="326"/>
      <c r="P275" s="326"/>
      <c r="Q275" s="326"/>
      <c r="R275" s="326"/>
      <c r="S275" s="326"/>
    </row>
    <row r="276" spans="1:26" ht="16.5" customHeight="1">
      <c r="A276" s="504"/>
      <c r="B276" s="505"/>
      <c r="C276" s="506"/>
      <c r="D276" s="324" t="s">
        <v>47</v>
      </c>
      <c r="E276" s="325" t="s">
        <v>377</v>
      </c>
      <c r="F276" s="326" t="s">
        <v>95</v>
      </c>
      <c r="G276" s="327">
        <v>2.0833333333333301E-2</v>
      </c>
      <c r="H276" s="76"/>
      <c r="I276" s="326"/>
      <c r="J276" s="326"/>
      <c r="K276" s="326"/>
      <c r="L276" s="326"/>
      <c r="M276" s="326"/>
      <c r="N276" s="326"/>
      <c r="O276" s="326"/>
      <c r="P276" s="326"/>
      <c r="Q276" s="326"/>
      <c r="R276" s="326"/>
      <c r="S276" s="326"/>
    </row>
    <row r="277" spans="1:26" ht="16.5" customHeight="1">
      <c r="A277" s="504"/>
      <c r="B277" s="505"/>
      <c r="C277" s="506"/>
      <c r="D277" s="324" t="s">
        <v>47</v>
      </c>
      <c r="E277" s="325" t="s">
        <v>292</v>
      </c>
      <c r="F277" s="326" t="s">
        <v>95</v>
      </c>
      <c r="G277" s="327">
        <v>6.25E-2</v>
      </c>
      <c r="H277" s="76"/>
      <c r="I277" s="326"/>
      <c r="J277" s="326"/>
      <c r="K277" s="326"/>
      <c r="L277" s="326"/>
      <c r="M277" s="326"/>
      <c r="N277" s="326"/>
      <c r="O277" s="326"/>
      <c r="P277" s="326"/>
      <c r="Q277" s="326"/>
      <c r="R277" s="326"/>
      <c r="S277" s="326"/>
    </row>
    <row r="278" spans="1:26" ht="16.5" customHeight="1">
      <c r="A278" s="504"/>
      <c r="B278" s="505"/>
      <c r="C278" s="506" t="s">
        <v>327</v>
      </c>
      <c r="D278" s="324" t="s">
        <v>47</v>
      </c>
      <c r="E278" s="325" t="s">
        <v>378</v>
      </c>
      <c r="F278" s="326" t="s">
        <v>95</v>
      </c>
      <c r="G278" s="327">
        <v>8.3333333333333301E-2</v>
      </c>
      <c r="H278" s="76"/>
      <c r="I278" s="326"/>
      <c r="J278" s="326"/>
      <c r="K278" s="326"/>
      <c r="L278" s="326"/>
      <c r="M278" s="326"/>
      <c r="N278" s="326"/>
      <c r="O278" s="326"/>
      <c r="P278" s="326"/>
      <c r="Q278" s="326"/>
      <c r="R278" s="326"/>
      <c r="S278" s="326"/>
    </row>
    <row r="279" spans="1:26" ht="15.75" customHeight="1">
      <c r="A279" s="504"/>
      <c r="B279" s="505"/>
      <c r="C279" s="506"/>
      <c r="D279" s="324"/>
      <c r="E279" s="325" t="s">
        <v>379</v>
      </c>
      <c r="F279" s="326" t="s">
        <v>95</v>
      </c>
      <c r="G279" s="327">
        <v>1.0416666666666701E-2</v>
      </c>
      <c r="H279" s="76"/>
      <c r="I279" s="326"/>
      <c r="J279" s="326"/>
      <c r="K279" s="326"/>
      <c r="L279" s="326"/>
      <c r="M279" s="326"/>
      <c r="N279" s="326"/>
      <c r="O279" s="326"/>
      <c r="P279" s="326"/>
      <c r="Q279" s="326"/>
      <c r="R279" s="326"/>
      <c r="S279" s="326"/>
    </row>
    <row r="280" spans="1:26" ht="15.75" customHeight="1">
      <c r="A280" s="504"/>
      <c r="B280" s="505"/>
      <c r="C280" s="507" t="s">
        <v>165</v>
      </c>
      <c r="D280" s="328" t="s">
        <v>47</v>
      </c>
      <c r="E280" s="325" t="s">
        <v>380</v>
      </c>
      <c r="F280" s="326" t="s">
        <v>101</v>
      </c>
      <c r="G280" s="327">
        <v>2.0833333333333301E-2</v>
      </c>
      <c r="H280" s="76"/>
      <c r="I280" s="326"/>
      <c r="J280" s="326"/>
      <c r="K280" s="326"/>
      <c r="L280" s="326"/>
      <c r="M280" s="326"/>
      <c r="N280" s="326"/>
      <c r="O280" s="326"/>
      <c r="P280" s="326"/>
      <c r="Q280" s="326"/>
      <c r="R280" s="326"/>
      <c r="S280" s="326"/>
    </row>
    <row r="281" spans="1:26" ht="15.75" customHeight="1">
      <c r="A281" s="504"/>
      <c r="B281" s="505"/>
      <c r="C281" s="507"/>
      <c r="D281" s="328" t="s">
        <v>47</v>
      </c>
      <c r="E281" s="325" t="s">
        <v>381</v>
      </c>
      <c r="F281" s="326" t="s">
        <v>101</v>
      </c>
      <c r="G281" s="327">
        <v>2.0833333333333301E-2</v>
      </c>
      <c r="H281" s="76"/>
      <c r="I281" s="326"/>
      <c r="J281" s="326"/>
      <c r="K281" s="326"/>
      <c r="L281" s="326"/>
      <c r="M281" s="326"/>
      <c r="N281" s="326"/>
      <c r="O281" s="326"/>
      <c r="P281" s="326"/>
      <c r="Q281" s="326"/>
      <c r="R281" s="326"/>
      <c r="S281" s="326"/>
    </row>
    <row r="282" spans="1:26" ht="15.75" customHeight="1">
      <c r="A282" s="504"/>
      <c r="B282" s="505"/>
      <c r="C282" s="507"/>
      <c r="D282" s="328" t="s">
        <v>47</v>
      </c>
      <c r="E282" s="325" t="s">
        <v>382</v>
      </c>
      <c r="F282" s="326" t="s">
        <v>101</v>
      </c>
      <c r="G282" s="327">
        <v>2.0833333333333301E-2</v>
      </c>
      <c r="H282" s="76"/>
      <c r="I282" s="326"/>
      <c r="J282" s="326"/>
      <c r="K282" s="326"/>
      <c r="L282" s="326"/>
      <c r="M282" s="326"/>
      <c r="N282" s="326"/>
      <c r="O282" s="326"/>
      <c r="P282" s="326"/>
      <c r="Q282" s="326"/>
      <c r="R282" s="326"/>
      <c r="S282" s="326"/>
    </row>
    <row r="283" spans="1:26" ht="15.75" customHeight="1">
      <c r="A283" s="504"/>
      <c r="B283" s="505"/>
      <c r="C283" s="507"/>
      <c r="D283" s="328" t="s">
        <v>47</v>
      </c>
      <c r="E283" s="325" t="s">
        <v>383</v>
      </c>
      <c r="F283" s="326" t="s">
        <v>101</v>
      </c>
      <c r="G283" s="327">
        <v>2.0833333333333301E-2</v>
      </c>
      <c r="H283" s="76"/>
      <c r="I283" s="326"/>
      <c r="J283" s="326"/>
      <c r="K283" s="326"/>
      <c r="L283" s="326"/>
      <c r="M283" s="326"/>
      <c r="N283" s="326"/>
      <c r="O283" s="326"/>
      <c r="P283" s="326"/>
      <c r="Q283" s="326"/>
      <c r="R283" s="326"/>
      <c r="S283" s="326"/>
    </row>
    <row r="284" spans="1:26" ht="15.75" customHeight="1">
      <c r="A284" s="504"/>
      <c r="B284" s="505"/>
      <c r="C284" s="507" t="s">
        <v>381</v>
      </c>
      <c r="D284" s="328" t="s">
        <v>47</v>
      </c>
      <c r="E284" s="325" t="s">
        <v>384</v>
      </c>
      <c r="F284" s="326" t="s">
        <v>95</v>
      </c>
      <c r="G284" s="327">
        <v>4.1666666666666699E-2</v>
      </c>
      <c r="H284" s="76"/>
      <c r="I284" s="326"/>
      <c r="J284" s="326"/>
      <c r="K284" s="326"/>
      <c r="L284" s="326"/>
      <c r="M284" s="326"/>
      <c r="N284" s="326"/>
      <c r="O284" s="326"/>
      <c r="P284" s="326"/>
      <c r="Q284" s="326"/>
      <c r="R284" s="326"/>
      <c r="S284" s="326"/>
    </row>
    <row r="285" spans="1:26" ht="16.5" customHeight="1">
      <c r="A285" s="504"/>
      <c r="B285" s="505"/>
      <c r="C285" s="507"/>
      <c r="D285" s="328" t="s">
        <v>47</v>
      </c>
      <c r="E285" s="325" t="s">
        <v>385</v>
      </c>
      <c r="F285" s="326" t="s">
        <v>101</v>
      </c>
      <c r="G285" s="327">
        <v>4.1666666666666699E-2</v>
      </c>
      <c r="H285" s="76"/>
      <c r="I285" s="326"/>
      <c r="J285" s="326"/>
      <c r="K285" s="326"/>
      <c r="L285" s="326"/>
      <c r="M285" s="326"/>
      <c r="N285" s="326"/>
      <c r="O285" s="326"/>
      <c r="P285" s="326"/>
      <c r="Q285" s="326"/>
      <c r="R285" s="326"/>
      <c r="S285" s="326"/>
    </row>
    <row r="286" spans="1:26" ht="16.5" customHeight="1">
      <c r="A286" s="504"/>
      <c r="B286" s="505"/>
      <c r="C286" s="507"/>
      <c r="D286" s="328" t="s">
        <v>47</v>
      </c>
      <c r="E286" s="325" t="s">
        <v>289</v>
      </c>
      <c r="F286" s="326" t="s">
        <v>101</v>
      </c>
      <c r="G286" s="327">
        <v>3.125E-2</v>
      </c>
      <c r="H286" s="76"/>
      <c r="I286" s="326"/>
      <c r="J286" s="326"/>
      <c r="K286" s="326"/>
      <c r="L286" s="326"/>
      <c r="M286" s="326"/>
      <c r="N286" s="326"/>
      <c r="O286" s="326"/>
      <c r="P286" s="326"/>
      <c r="Q286" s="326"/>
      <c r="R286" s="326"/>
      <c r="S286" s="326"/>
    </row>
    <row r="287" spans="1:26" ht="16.5" customHeight="1">
      <c r="A287" s="504"/>
      <c r="B287" s="505"/>
      <c r="C287" s="507" t="s">
        <v>386</v>
      </c>
      <c r="D287" s="328" t="s">
        <v>47</v>
      </c>
      <c r="E287" s="325" t="s">
        <v>387</v>
      </c>
      <c r="F287" s="326" t="s">
        <v>95</v>
      </c>
      <c r="G287" s="327">
        <v>4.1666666666666699E-2</v>
      </c>
      <c r="H287" s="76"/>
      <c r="I287" s="326"/>
      <c r="J287" s="326"/>
      <c r="K287" s="326"/>
      <c r="L287" s="326"/>
      <c r="M287" s="326"/>
      <c r="N287" s="326"/>
      <c r="O287" s="326"/>
      <c r="P287" s="326"/>
      <c r="Q287" s="326"/>
      <c r="R287" s="326"/>
      <c r="S287" s="326"/>
    </row>
    <row r="288" spans="1:26" ht="16.5" customHeight="1">
      <c r="A288" s="504"/>
      <c r="B288" s="505"/>
      <c r="C288" s="507"/>
      <c r="D288" s="328"/>
      <c r="E288" s="325" t="s">
        <v>388</v>
      </c>
      <c r="F288" s="326" t="s">
        <v>95</v>
      </c>
      <c r="G288" s="327">
        <v>4.1666666666666699E-2</v>
      </c>
      <c r="H288" s="76"/>
      <c r="I288" s="326"/>
      <c r="J288" s="326"/>
      <c r="K288" s="326"/>
      <c r="L288" s="326"/>
      <c r="M288" s="326"/>
      <c r="N288" s="326"/>
      <c r="O288" s="326"/>
      <c r="P288" s="326"/>
      <c r="Q288" s="326"/>
      <c r="R288" s="326"/>
      <c r="S288" s="326"/>
    </row>
    <row r="289" spans="1:26" ht="16.5" customHeight="1">
      <c r="A289" s="504"/>
      <c r="B289" s="505"/>
      <c r="C289" s="507"/>
      <c r="D289" s="328"/>
      <c r="E289" s="325" t="s">
        <v>389</v>
      </c>
      <c r="F289" s="326" t="s">
        <v>101</v>
      </c>
      <c r="G289" s="327">
        <v>3.125E-2</v>
      </c>
      <c r="H289" s="76"/>
      <c r="I289" s="326"/>
      <c r="J289" s="326"/>
      <c r="K289" s="326"/>
      <c r="L289" s="326"/>
      <c r="M289" s="326"/>
      <c r="N289" s="326"/>
      <c r="O289" s="326"/>
      <c r="P289" s="326"/>
      <c r="Q289" s="326"/>
      <c r="R289" s="326"/>
      <c r="S289" s="326"/>
    </row>
    <row r="290" spans="1:26" ht="16.5" customHeight="1">
      <c r="A290" s="504"/>
      <c r="B290" s="505"/>
      <c r="C290" s="507" t="s">
        <v>200</v>
      </c>
      <c r="D290" s="328" t="s">
        <v>47</v>
      </c>
      <c r="E290" s="325" t="s">
        <v>390</v>
      </c>
      <c r="F290" s="326" t="s">
        <v>101</v>
      </c>
      <c r="G290" s="327">
        <v>4.1666666666666699E-2</v>
      </c>
      <c r="H290" s="7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</row>
    <row r="291" spans="1:26" ht="16.5" customHeight="1">
      <c r="A291" s="504"/>
      <c r="B291" s="505"/>
      <c r="C291" s="507"/>
      <c r="D291" s="328" t="s">
        <v>47</v>
      </c>
      <c r="E291" s="325" t="s">
        <v>391</v>
      </c>
      <c r="F291" s="326" t="s">
        <v>101</v>
      </c>
      <c r="G291" s="327">
        <v>4.1666666666666699E-2</v>
      </c>
      <c r="H291" s="76"/>
      <c r="I291" s="326"/>
      <c r="J291" s="326"/>
      <c r="K291" s="326"/>
      <c r="L291" s="326"/>
      <c r="M291" s="326"/>
      <c r="N291" s="326"/>
      <c r="O291" s="326"/>
      <c r="P291" s="326"/>
      <c r="Q291" s="326"/>
      <c r="R291" s="326"/>
      <c r="S291" s="326"/>
    </row>
    <row r="292" spans="1:26" ht="16.5" customHeight="1">
      <c r="A292" s="504"/>
      <c r="B292" s="505"/>
      <c r="C292" s="507"/>
      <c r="D292" s="328" t="s">
        <v>47</v>
      </c>
      <c r="E292" s="325" t="s">
        <v>392</v>
      </c>
      <c r="F292" s="326" t="s">
        <v>101</v>
      </c>
      <c r="G292" s="327">
        <v>4.1666666666666699E-2</v>
      </c>
      <c r="H292" s="76"/>
      <c r="I292" s="326"/>
      <c r="J292" s="326"/>
      <c r="K292" s="326"/>
      <c r="L292" s="326"/>
      <c r="M292" s="326"/>
      <c r="N292" s="326"/>
      <c r="O292" s="326"/>
      <c r="P292" s="326"/>
      <c r="Q292" s="326"/>
      <c r="R292" s="326"/>
      <c r="S292" s="326"/>
    </row>
    <row r="293" spans="1:26" ht="16.5" customHeight="1">
      <c r="A293" s="504"/>
      <c r="B293" s="505"/>
      <c r="C293" s="507"/>
      <c r="D293" s="328" t="s">
        <v>47</v>
      </c>
      <c r="E293" s="325" t="s">
        <v>393</v>
      </c>
      <c r="F293" s="326" t="s">
        <v>101</v>
      </c>
      <c r="G293" s="327">
        <v>4.1666666666666699E-2</v>
      </c>
      <c r="H293" s="76"/>
      <c r="I293" s="326"/>
      <c r="J293" s="326"/>
      <c r="K293" s="326"/>
      <c r="L293" s="326"/>
      <c r="M293" s="326"/>
      <c r="N293" s="326"/>
      <c r="O293" s="326"/>
      <c r="P293" s="326"/>
      <c r="Q293" s="326"/>
      <c r="R293" s="326"/>
      <c r="S293" s="326"/>
    </row>
    <row r="294" spans="1:26" s="332" customFormat="1" ht="15.75" customHeight="1">
      <c r="A294" s="329"/>
      <c r="B294" s="498" t="s">
        <v>55</v>
      </c>
      <c r="C294" s="498"/>
      <c r="D294" s="498"/>
      <c r="E294" s="330"/>
      <c r="F294" s="329"/>
      <c r="G294" s="331">
        <f>ROUNDUP(IF($A$295="x",SUMIF($D$295:$D$306,"x",$G$295:$G$306)*24,0),0)</f>
        <v>0</v>
      </c>
      <c r="I294" s="331">
        <v>0</v>
      </c>
      <c r="J294" s="333"/>
      <c r="K294" s="334"/>
      <c r="L294" s="335"/>
      <c r="M294" s="335">
        <f>$G$294*0.1875</f>
        <v>0</v>
      </c>
      <c r="N294" s="335">
        <f>$G$294*0.25 + IF(Resumo!$C$7 = "SIM",$G$294*0.25*0.3,0)</f>
        <v>0</v>
      </c>
      <c r="O294" s="335">
        <f>$G$294*0.25</f>
        <v>0</v>
      </c>
      <c r="P294" s="335">
        <f>$G$294*0.615 + IF(Resumo!$C$7 = "SIM",$G$294*0.0615*0.3,0)</f>
        <v>0</v>
      </c>
      <c r="Q294" s="335">
        <f>($G$294*0.25)*Resumo!$P$9</f>
        <v>0</v>
      </c>
      <c r="R294" s="335"/>
      <c r="S294" s="335"/>
      <c r="T294" s="61"/>
      <c r="U294" s="61"/>
      <c r="V294" s="61"/>
      <c r="W294" s="61"/>
      <c r="X294" s="61"/>
      <c r="Y294" s="61"/>
      <c r="Z294" s="61"/>
    </row>
    <row r="295" spans="1:26" ht="15.75" customHeight="1">
      <c r="A295" s="499" t="str">
        <f>IF(Resumo!A22="x",Resumo!A22,"")</f>
        <v/>
      </c>
      <c r="B295" s="500"/>
      <c r="C295" s="501" t="s">
        <v>295</v>
      </c>
      <c r="D295" s="336" t="s">
        <v>47</v>
      </c>
      <c r="E295" s="228" t="s">
        <v>394</v>
      </c>
      <c r="F295" s="229" t="s">
        <v>95</v>
      </c>
      <c r="G295" s="230">
        <v>2.0833333333333301E-2</v>
      </c>
      <c r="H295" s="76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</row>
    <row r="296" spans="1:26" ht="15.75" customHeight="1">
      <c r="A296" s="499"/>
      <c r="B296" s="500"/>
      <c r="C296" s="501"/>
      <c r="D296" s="336" t="s">
        <v>47</v>
      </c>
      <c r="E296" s="228" t="s">
        <v>395</v>
      </c>
      <c r="F296" s="229" t="s">
        <v>95</v>
      </c>
      <c r="G296" s="230">
        <v>2.0833333333333301E-2</v>
      </c>
      <c r="H296" s="76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</row>
    <row r="297" spans="1:26" ht="15.75" customHeight="1">
      <c r="A297" s="499"/>
      <c r="B297" s="500"/>
      <c r="C297" s="501"/>
      <c r="D297" s="336" t="s">
        <v>47</v>
      </c>
      <c r="E297" s="228" t="s">
        <v>122</v>
      </c>
      <c r="F297" s="229" t="s">
        <v>95</v>
      </c>
      <c r="G297" s="230">
        <v>2.0833333333333301E-2</v>
      </c>
      <c r="H297" s="76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</row>
    <row r="298" spans="1:26" ht="15.75" customHeight="1">
      <c r="A298" s="499"/>
      <c r="B298" s="500"/>
      <c r="C298" s="337" t="s">
        <v>327</v>
      </c>
      <c r="D298" s="338" t="s">
        <v>47</v>
      </c>
      <c r="E298" s="228" t="s">
        <v>396</v>
      </c>
      <c r="F298" s="229" t="s">
        <v>95</v>
      </c>
      <c r="G298" s="230">
        <v>2.0833333333333301E-2</v>
      </c>
      <c r="H298" s="76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</row>
    <row r="299" spans="1:26" ht="15.75" customHeight="1">
      <c r="A299" s="499"/>
      <c r="B299" s="500"/>
      <c r="C299" s="337" t="s">
        <v>165</v>
      </c>
      <c r="D299" s="338" t="s">
        <v>47</v>
      </c>
      <c r="E299" s="228" t="s">
        <v>397</v>
      </c>
      <c r="F299" s="229" t="s">
        <v>101</v>
      </c>
      <c r="G299" s="230">
        <v>2.0833333333333301E-2</v>
      </c>
      <c r="H299" s="76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</row>
    <row r="300" spans="1:26" ht="15.75" customHeight="1">
      <c r="A300" s="499"/>
      <c r="B300" s="500"/>
      <c r="C300" s="502" t="s">
        <v>398</v>
      </c>
      <c r="D300" s="338" t="s">
        <v>47</v>
      </c>
      <c r="E300" s="228" t="s">
        <v>397</v>
      </c>
      <c r="F300" s="229" t="s">
        <v>95</v>
      </c>
      <c r="G300" s="230">
        <v>4.1666666666666699E-2</v>
      </c>
      <c r="H300" s="76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</row>
    <row r="301" spans="1:26" ht="15.75" customHeight="1">
      <c r="A301" s="499"/>
      <c r="B301" s="500"/>
      <c r="C301" s="500"/>
      <c r="D301" s="338" t="s">
        <v>47</v>
      </c>
      <c r="E301" s="228" t="s">
        <v>399</v>
      </c>
      <c r="F301" s="229" t="s">
        <v>95</v>
      </c>
      <c r="G301" s="230">
        <v>2.0833333333333301E-2</v>
      </c>
      <c r="H301" s="76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</row>
    <row r="302" spans="1:26" ht="15.75" customHeight="1">
      <c r="A302" s="499"/>
      <c r="B302" s="500"/>
      <c r="C302" s="500"/>
      <c r="D302" s="338" t="s">
        <v>47</v>
      </c>
      <c r="E302" s="228" t="s">
        <v>400</v>
      </c>
      <c r="F302" s="229" t="s">
        <v>101</v>
      </c>
      <c r="G302" s="230">
        <v>1.0416666666666701E-2</v>
      </c>
      <c r="H302" s="76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</row>
    <row r="303" spans="1:26" ht="15.75" customHeight="1">
      <c r="A303" s="499"/>
      <c r="B303" s="500"/>
      <c r="C303" s="500"/>
      <c r="D303" s="338" t="s">
        <v>47</v>
      </c>
      <c r="E303" s="228" t="s">
        <v>401</v>
      </c>
      <c r="F303" s="229" t="s">
        <v>95</v>
      </c>
      <c r="G303" s="230">
        <v>2.0833333333333301E-2</v>
      </c>
      <c r="H303" s="76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</row>
    <row r="304" spans="1:26" ht="15.75" customHeight="1">
      <c r="A304" s="499"/>
      <c r="B304" s="500"/>
      <c r="C304" s="500"/>
      <c r="D304" s="338" t="s">
        <v>47</v>
      </c>
      <c r="E304" s="228" t="s">
        <v>402</v>
      </c>
      <c r="F304" s="229" t="s">
        <v>101</v>
      </c>
      <c r="G304" s="230">
        <v>2.0833333333333301E-2</v>
      </c>
      <c r="H304" s="76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</row>
    <row r="305" spans="1:19" ht="15.75" customHeight="1">
      <c r="A305" s="499"/>
      <c r="B305" s="500"/>
      <c r="C305" s="500"/>
      <c r="D305" s="338" t="s">
        <v>47</v>
      </c>
      <c r="E305" s="228" t="s">
        <v>403</v>
      </c>
      <c r="F305" s="229" t="s">
        <v>101</v>
      </c>
      <c r="G305" s="230">
        <v>1.0416666666666701E-2</v>
      </c>
      <c r="H305" s="76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</row>
    <row r="306" spans="1:19" ht="15.75" customHeight="1">
      <c r="A306" s="499"/>
      <c r="B306" s="500"/>
      <c r="C306" s="500"/>
      <c r="D306" s="338" t="s">
        <v>47</v>
      </c>
      <c r="E306" s="228" t="s">
        <v>404</v>
      </c>
      <c r="F306" s="229" t="s">
        <v>95</v>
      </c>
      <c r="G306" s="230">
        <v>1.0416666666666701E-2</v>
      </c>
      <c r="H306" s="76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</row>
  </sheetData>
  <mergeCells count="121">
    <mergeCell ref="G143:G144"/>
    <mergeCell ref="D156:D159"/>
    <mergeCell ref="C170:C171"/>
    <mergeCell ref="D184:D185"/>
    <mergeCell ref="A1:E1"/>
    <mergeCell ref="B3:F3"/>
    <mergeCell ref="A4:A99"/>
    <mergeCell ref="B4:B99"/>
    <mergeCell ref="C4:C14"/>
    <mergeCell ref="C49:C50"/>
    <mergeCell ref="C51:C52"/>
    <mergeCell ref="C53:C68"/>
    <mergeCell ref="C69:C83"/>
    <mergeCell ref="C84:C99"/>
    <mergeCell ref="B100:C100"/>
    <mergeCell ref="A101:A125"/>
    <mergeCell ref="B101:B125"/>
    <mergeCell ref="C101:C105"/>
    <mergeCell ref="G101:G103"/>
    <mergeCell ref="C106:C110"/>
    <mergeCell ref="C111:C116"/>
    <mergeCell ref="C117:C121"/>
    <mergeCell ref="C123:C125"/>
    <mergeCell ref="B126:D126"/>
    <mergeCell ref="I6:I8"/>
    <mergeCell ref="J6:J8"/>
    <mergeCell ref="I10:I11"/>
    <mergeCell ref="C15:C29"/>
    <mergeCell ref="C30:C34"/>
    <mergeCell ref="C35:C48"/>
    <mergeCell ref="I38:I40"/>
    <mergeCell ref="J38:J40"/>
    <mergeCell ref="K38:K40"/>
    <mergeCell ref="A127:A141"/>
    <mergeCell ref="B127:B141"/>
    <mergeCell ref="C127:C128"/>
    <mergeCell ref="C129:C131"/>
    <mergeCell ref="C132:C134"/>
    <mergeCell ref="C135:C141"/>
    <mergeCell ref="B142:D142"/>
    <mergeCell ref="A143:A192"/>
    <mergeCell ref="B143:B192"/>
    <mergeCell ref="C143:C144"/>
    <mergeCell ref="C145:C155"/>
    <mergeCell ref="C176:C178"/>
    <mergeCell ref="C179:C183"/>
    <mergeCell ref="D179:D183"/>
    <mergeCell ref="D143:D144"/>
    <mergeCell ref="C184:C185"/>
    <mergeCell ref="G145:G155"/>
    <mergeCell ref="C156:C159"/>
    <mergeCell ref="G156:G159"/>
    <mergeCell ref="C160:C164"/>
    <mergeCell ref="G160:G164"/>
    <mergeCell ref="C165:C166"/>
    <mergeCell ref="C174:C175"/>
    <mergeCell ref="G174:G175"/>
    <mergeCell ref="G179:G183"/>
    <mergeCell ref="D146:D155"/>
    <mergeCell ref="G184:G185"/>
    <mergeCell ref="C186:C189"/>
    <mergeCell ref="C190:C191"/>
    <mergeCell ref="B193:D193"/>
    <mergeCell ref="A194:A215"/>
    <mergeCell ref="B194:B215"/>
    <mergeCell ref="C196:C201"/>
    <mergeCell ref="C202:C208"/>
    <mergeCell ref="C209:C210"/>
    <mergeCell ref="C211:C215"/>
    <mergeCell ref="B216:D216"/>
    <mergeCell ref="A217:A221"/>
    <mergeCell ref="B217:B221"/>
    <mergeCell ref="C217:C219"/>
    <mergeCell ref="B222:D222"/>
    <mergeCell ref="A223:A230"/>
    <mergeCell ref="B223:B230"/>
    <mergeCell ref="C223:C227"/>
    <mergeCell ref="C229:C230"/>
    <mergeCell ref="B231:D231"/>
    <mergeCell ref="A232:A238"/>
    <mergeCell ref="B232:B238"/>
    <mergeCell ref="C233:C234"/>
    <mergeCell ref="C235:C236"/>
    <mergeCell ref="C237:C238"/>
    <mergeCell ref="B239:D239"/>
    <mergeCell ref="A240:A247"/>
    <mergeCell ref="B240:B247"/>
    <mergeCell ref="C240:C244"/>
    <mergeCell ref="C246:C247"/>
    <mergeCell ref="B248:D248"/>
    <mergeCell ref="A249:A263"/>
    <mergeCell ref="B249:B263"/>
    <mergeCell ref="C249:C254"/>
    <mergeCell ref="C255:C257"/>
    <mergeCell ref="C258:C259"/>
    <mergeCell ref="C260:C261"/>
    <mergeCell ref="C262:C263"/>
    <mergeCell ref="B264:D264"/>
    <mergeCell ref="A265:A273"/>
    <mergeCell ref="B265:B273"/>
    <mergeCell ref="C265:C269"/>
    <mergeCell ref="I265:I267"/>
    <mergeCell ref="J265:J267"/>
    <mergeCell ref="K265:K267"/>
    <mergeCell ref="L265:L267"/>
    <mergeCell ref="C270:C271"/>
    <mergeCell ref="C272:C273"/>
    <mergeCell ref="B294:D294"/>
    <mergeCell ref="A295:A306"/>
    <mergeCell ref="B295:B306"/>
    <mergeCell ref="C295:C297"/>
    <mergeCell ref="C300:C306"/>
    <mergeCell ref="B274:D274"/>
    <mergeCell ref="A275:A293"/>
    <mergeCell ref="B275:B293"/>
    <mergeCell ref="C275:C277"/>
    <mergeCell ref="C278:C279"/>
    <mergeCell ref="C280:C283"/>
    <mergeCell ref="C284:C286"/>
    <mergeCell ref="C287:C289"/>
    <mergeCell ref="C290:C293"/>
  </mergeCells>
  <conditionalFormatting sqref="H16:H68 H99 H101:H104 H117:H119 H121:H125 H127:H141 H143:H192 H194:H215">
    <cfRule type="cellIs" dxfId="284" priority="4" operator="notEqual">
      <formula>$L16</formula>
    </cfRule>
  </conditionalFormatting>
  <conditionalFormatting sqref="H16:H68">
    <cfRule type="cellIs" priority="5" operator="notEqual">
      <formula>L16</formula>
    </cfRule>
  </conditionalFormatting>
  <conditionalFormatting sqref="H86">
    <cfRule type="cellIs" dxfId="283" priority="2" operator="notEqual">
      <formula>$L86</formula>
    </cfRule>
    <cfRule type="cellIs" priority="3" operator="notEqual">
      <formula>L86</formula>
    </cfRule>
  </conditionalFormatting>
  <dataValidations count="3">
    <dataValidation type="list" allowBlank="1" showInputMessage="1" showErrorMessage="1" sqref="H294:H364 H366:H853" xr:uid="{00000000-0002-0000-0100-000000000000}">
      <formula1>"SIM,NÃO"</formula1>
      <formula2>0</formula2>
    </dataValidation>
    <dataValidation type="custom" showInputMessage="1" showErrorMessage="1" errorTitle="Ação não permitida" error="Esta funcionalidade é obrigatória e não pode ser desmarcada." sqref="D4:D99 D101:D125 D127:D141 D156 D295:D299 D194:D215 D217:D221 D223:D230 D232:D238 D240:D247 D249:D263 D265:D273 D275:D293 D165:D179 D145 D143 D184 D186:D192" xr:uid="{00000000-0002-0000-0100-000001000000}">
      <formula1>OR($F4&lt;&gt;"Obrigatório",D4="x")</formula1>
      <formula2>0</formula2>
    </dataValidation>
    <dataValidation type="custom" showInputMessage="1" showErrorMessage="1" errorTitle="Ação não permitida" error="Esta funcionalidade é obrigatória e não pode ser desmarcada." sqref="D300:D306" xr:uid="{00000000-0002-0000-0100-000002000000}">
      <formula1>OR($F301&lt;&gt;"Obrigatório",D300="x")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="90" zoomScaleNormal="90" workbookViewId="0">
      <selection activeCell="E32" sqref="E32"/>
    </sheetView>
  </sheetViews>
  <sheetFormatPr defaultColWidth="8.7109375" defaultRowHeight="15"/>
  <cols>
    <col min="1" max="1" width="32.5703125" customWidth="1"/>
  </cols>
  <sheetData>
    <row r="1" spans="1:4">
      <c r="B1">
        <f>SUM(B2:B37)</f>
        <v>43.25</v>
      </c>
    </row>
    <row r="2" spans="1:4">
      <c r="A2" t="s">
        <v>405</v>
      </c>
      <c r="B2">
        <v>1</v>
      </c>
    </row>
    <row r="3" spans="1:4">
      <c r="A3" t="s">
        <v>406</v>
      </c>
      <c r="B3">
        <v>2</v>
      </c>
    </row>
    <row r="4" spans="1:4">
      <c r="A4" t="s">
        <v>407</v>
      </c>
      <c r="B4">
        <v>0.5</v>
      </c>
    </row>
    <row r="5" spans="1:4">
      <c r="A5" t="s">
        <v>408</v>
      </c>
      <c r="B5" s="339">
        <v>1</v>
      </c>
    </row>
    <row r="6" spans="1:4">
      <c r="A6" t="s">
        <v>409</v>
      </c>
      <c r="B6" s="339">
        <v>1</v>
      </c>
    </row>
    <row r="7" spans="1:4">
      <c r="A7" t="s">
        <v>277</v>
      </c>
      <c r="B7" s="339">
        <v>1.5</v>
      </c>
    </row>
    <row r="8" spans="1:4">
      <c r="A8" t="s">
        <v>283</v>
      </c>
      <c r="B8" s="339">
        <v>1.5</v>
      </c>
    </row>
    <row r="9" spans="1:4">
      <c r="A9" t="s">
        <v>274</v>
      </c>
      <c r="B9" s="339">
        <v>1</v>
      </c>
    </row>
    <row r="10" spans="1:4">
      <c r="A10" t="s">
        <v>410</v>
      </c>
      <c r="B10" s="339">
        <v>1</v>
      </c>
    </row>
    <row r="11" spans="1:4">
      <c r="A11" t="s">
        <v>411</v>
      </c>
      <c r="B11" s="339">
        <v>2</v>
      </c>
    </row>
    <row r="12" spans="1:4">
      <c r="A12" t="s">
        <v>412</v>
      </c>
      <c r="B12" s="339">
        <v>0.5</v>
      </c>
    </row>
    <row r="13" spans="1:4">
      <c r="A13" t="s">
        <v>266</v>
      </c>
      <c r="B13" s="339">
        <v>1</v>
      </c>
    </row>
    <row r="14" spans="1:4">
      <c r="A14" t="s">
        <v>413</v>
      </c>
      <c r="B14">
        <v>0.75</v>
      </c>
    </row>
    <row r="15" spans="1:4">
      <c r="A15" t="s">
        <v>414</v>
      </c>
      <c r="C15" s="340">
        <v>8</v>
      </c>
      <c r="D15" t="s">
        <v>415</v>
      </c>
    </row>
    <row r="16" spans="1:4">
      <c r="A16" t="s">
        <v>416</v>
      </c>
      <c r="B16" s="339">
        <v>1.5</v>
      </c>
    </row>
    <row r="17" spans="1:4">
      <c r="A17" t="s">
        <v>417</v>
      </c>
      <c r="B17">
        <v>1</v>
      </c>
    </row>
    <row r="18" spans="1:4">
      <c r="A18" t="s">
        <v>418</v>
      </c>
      <c r="B18" s="339">
        <v>1.5</v>
      </c>
    </row>
    <row r="19" spans="1:4">
      <c r="A19" t="s">
        <v>419</v>
      </c>
      <c r="B19" s="339">
        <v>8</v>
      </c>
    </row>
    <row r="20" spans="1:4">
      <c r="A20" t="s">
        <v>290</v>
      </c>
      <c r="B20" s="339">
        <v>1</v>
      </c>
    </row>
    <row r="21" spans="1:4">
      <c r="A21" t="s">
        <v>420</v>
      </c>
      <c r="B21" s="339">
        <v>1</v>
      </c>
    </row>
    <row r="22" spans="1:4">
      <c r="A22" t="s">
        <v>200</v>
      </c>
      <c r="B22">
        <v>1.5</v>
      </c>
    </row>
    <row r="23" spans="1:4">
      <c r="A23" t="s">
        <v>421</v>
      </c>
      <c r="B23" s="339">
        <v>3</v>
      </c>
    </row>
    <row r="24" spans="1:4">
      <c r="A24" t="s">
        <v>422</v>
      </c>
      <c r="B24" s="339">
        <v>2</v>
      </c>
    </row>
    <row r="25" spans="1:4">
      <c r="A25" t="s">
        <v>423</v>
      </c>
      <c r="B25">
        <v>1</v>
      </c>
    </row>
    <row r="26" spans="1:4">
      <c r="A26" t="s">
        <v>424</v>
      </c>
      <c r="B26" s="339">
        <v>1.5</v>
      </c>
    </row>
    <row r="27" spans="1:4">
      <c r="A27" t="s">
        <v>425</v>
      </c>
      <c r="B27" s="339">
        <v>0.5</v>
      </c>
    </row>
    <row r="28" spans="1:4">
      <c r="A28" t="s">
        <v>293</v>
      </c>
      <c r="B28" s="339">
        <v>2</v>
      </c>
    </row>
    <row r="29" spans="1:4">
      <c r="A29" t="s">
        <v>426</v>
      </c>
      <c r="B29" s="340">
        <v>2</v>
      </c>
      <c r="D29" t="s">
        <v>427</v>
      </c>
    </row>
    <row r="30" spans="1:4">
      <c r="A30" t="s">
        <v>428</v>
      </c>
      <c r="B30" s="339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I114"/>
  <sheetViews>
    <sheetView zoomScale="90" zoomScaleNormal="90" workbookViewId="0">
      <pane ySplit="2" topLeftCell="A64" activePane="bottomLeft" state="frozen"/>
      <selection pane="bottomLeft" activeCell="D67" sqref="D67"/>
      <selection activeCell="B1" sqref="B1"/>
    </sheetView>
  </sheetViews>
  <sheetFormatPr defaultColWidth="8.5703125" defaultRowHeight="15"/>
  <cols>
    <col min="1" max="1" width="93.28515625" style="341" customWidth="1"/>
    <col min="2" max="2" width="50.140625" style="342" customWidth="1"/>
    <col min="3" max="3" width="9.85546875" style="342" customWidth="1"/>
    <col min="4" max="5" width="20.28515625" style="343" customWidth="1"/>
    <col min="6" max="6" width="25.140625" style="343" customWidth="1"/>
    <col min="7" max="7" width="20.28515625" style="343" customWidth="1"/>
    <col min="8" max="9" width="8.7109375" style="342" customWidth="1"/>
    <col min="10" max="12" width="11.28515625" style="342" customWidth="1"/>
    <col min="13" max="13" width="8.7109375" style="342" customWidth="1"/>
    <col min="14" max="14" width="7.7109375" style="342" customWidth="1"/>
    <col min="15" max="15" width="8.7109375" style="342" customWidth="1"/>
    <col min="16" max="16" width="7.7109375" style="342" customWidth="1"/>
    <col min="17" max="19" width="8.7109375" style="342" customWidth="1"/>
    <col min="20" max="20" width="7.7109375" style="342" customWidth="1"/>
    <col min="21" max="22" width="8.7109375" style="342" customWidth="1"/>
    <col min="23" max="24" width="7.7109375" style="342" customWidth="1"/>
    <col min="25" max="28" width="8.7109375" style="342" customWidth="1"/>
    <col min="29" max="29" width="12.42578125" style="343" customWidth="1"/>
    <col min="30" max="30" width="9.140625" style="343" customWidth="1"/>
    <col min="31" max="31" width="12" style="342" customWidth="1"/>
    <col min="32" max="1023" width="8.5703125" style="342"/>
    <col min="1024" max="16384" width="8.5703125" style="341"/>
  </cols>
  <sheetData>
    <row r="1" spans="1:31" ht="15.75" customHeight="1">
      <c r="H1" s="342" t="str">
        <f>Resumo!$A15</f>
        <v>x</v>
      </c>
      <c r="I1" s="3">
        <f>Resumo!$A16</f>
        <v>0</v>
      </c>
      <c r="J1" s="342" t="e">
        <f>Resumo!#REF!</f>
        <v>#REF!</v>
      </c>
      <c r="K1" s="342" t="e">
        <f>Resumo!#REF!</f>
        <v>#REF!</v>
      </c>
      <c r="L1" s="342" t="e">
        <f>Resumo!#REF!</f>
        <v>#REF!</v>
      </c>
      <c r="M1" s="342">
        <f>Resumo!A17</f>
        <v>0</v>
      </c>
      <c r="N1" s="342">
        <f>Resumo!A18</f>
        <v>0</v>
      </c>
      <c r="O1" s="342">
        <f>Resumo!A19</f>
        <v>0</v>
      </c>
      <c r="P1" s="342" t="e">
        <f>Resumo!#REF!</f>
        <v>#REF!</v>
      </c>
      <c r="Q1" s="342">
        <f>Resumo!A20</f>
        <v>0</v>
      </c>
      <c r="R1" s="342" t="e">
        <f>Resumo!#REF!</f>
        <v>#REF!</v>
      </c>
      <c r="S1" s="342">
        <f>Resumo!A21</f>
        <v>0</v>
      </c>
      <c r="T1" s="342">
        <f>Resumo!A22</f>
        <v>0</v>
      </c>
      <c r="U1" s="342" t="e">
        <f>Resumo!#REF!</f>
        <v>#REF!</v>
      </c>
      <c r="V1" s="342" t="str">
        <f>Resumo!A23</f>
        <v>x</v>
      </c>
      <c r="W1" s="342">
        <f>Resumo!A24</f>
        <v>0</v>
      </c>
      <c r="X1" s="342">
        <f>Resumo!A25</f>
        <v>0</v>
      </c>
      <c r="Y1" s="342" t="e">
        <f>Resumo!#REF!</f>
        <v>#REF!</v>
      </c>
      <c r="Z1" s="342">
        <f>Resumo!A26</f>
        <v>0</v>
      </c>
      <c r="AA1" s="342">
        <f>Resumo!A27</f>
        <v>0</v>
      </c>
      <c r="AB1" s="342" t="e">
        <f>Resumo!#REF!</f>
        <v>#REF!</v>
      </c>
    </row>
    <row r="2" spans="1:31" ht="77.25" customHeight="1">
      <c r="A2" s="341" t="s">
        <v>429</v>
      </c>
      <c r="B2" s="344" t="s">
        <v>430</v>
      </c>
      <c r="C2" s="344" t="s">
        <v>431</v>
      </c>
      <c r="D2" s="345" t="s">
        <v>432</v>
      </c>
      <c r="E2" s="345" t="s">
        <v>433</v>
      </c>
      <c r="F2" s="345" t="s">
        <v>434</v>
      </c>
      <c r="G2" s="346" t="s">
        <v>435</v>
      </c>
      <c r="H2" s="347" t="s">
        <v>48</v>
      </c>
      <c r="I2" s="348" t="s">
        <v>49</v>
      </c>
      <c r="J2" s="348" t="s">
        <v>436</v>
      </c>
      <c r="K2" s="348" t="s">
        <v>437</v>
      </c>
      <c r="L2" s="348" t="s">
        <v>438</v>
      </c>
      <c r="M2" s="349" t="s">
        <v>50</v>
      </c>
      <c r="N2" s="349" t="s">
        <v>51</v>
      </c>
      <c r="O2" s="350" t="s">
        <v>52</v>
      </c>
      <c r="P2" s="350" t="s">
        <v>439</v>
      </c>
      <c r="Q2" s="350" t="s">
        <v>53</v>
      </c>
      <c r="R2" s="351" t="s">
        <v>440</v>
      </c>
      <c r="S2" s="351" t="s">
        <v>54</v>
      </c>
      <c r="T2" s="351" t="s">
        <v>55</v>
      </c>
      <c r="U2" s="351" t="s">
        <v>441</v>
      </c>
      <c r="V2" s="351" t="s">
        <v>56</v>
      </c>
      <c r="W2" s="351" t="s">
        <v>57</v>
      </c>
      <c r="X2" s="351" t="s">
        <v>58</v>
      </c>
      <c r="Y2" s="351" t="s">
        <v>442</v>
      </c>
      <c r="Z2" s="351" t="s">
        <v>59</v>
      </c>
      <c r="AA2" s="351" t="s">
        <v>60</v>
      </c>
      <c r="AB2" s="351" t="s">
        <v>443</v>
      </c>
      <c r="AC2" s="352" t="s">
        <v>444</v>
      </c>
      <c r="AD2" s="343" t="s">
        <v>445</v>
      </c>
    </row>
    <row r="3" spans="1:31" ht="30.75" customHeight="1">
      <c r="A3" s="353"/>
      <c r="B3" s="354" t="s">
        <v>446</v>
      </c>
      <c r="C3" s="354" t="s">
        <v>447</v>
      </c>
      <c r="D3" s="355">
        <v>0</v>
      </c>
      <c r="E3" s="355"/>
      <c r="F3" s="355"/>
      <c r="G3" s="356"/>
      <c r="H3" s="357" t="s">
        <v>22</v>
      </c>
      <c r="I3" s="357" t="s">
        <v>22</v>
      </c>
      <c r="J3" s="357" t="s">
        <v>22</v>
      </c>
      <c r="K3" s="357" t="s">
        <v>22</v>
      </c>
      <c r="L3" s="357" t="s">
        <v>22</v>
      </c>
      <c r="M3" s="357" t="s">
        <v>22</v>
      </c>
      <c r="N3" s="357" t="s">
        <v>22</v>
      </c>
      <c r="O3" s="357" t="s">
        <v>22</v>
      </c>
      <c r="P3" s="357" t="s">
        <v>22</v>
      </c>
      <c r="Q3" s="357" t="s">
        <v>22</v>
      </c>
      <c r="R3" s="357" t="s">
        <v>22</v>
      </c>
      <c r="S3" s="357" t="s">
        <v>22</v>
      </c>
      <c r="T3" s="357" t="s">
        <v>22</v>
      </c>
      <c r="U3" s="357" t="s">
        <v>22</v>
      </c>
      <c r="V3" s="357" t="s">
        <v>22</v>
      </c>
      <c r="W3" s="357" t="s">
        <v>22</v>
      </c>
      <c r="X3" s="357" t="s">
        <v>22</v>
      </c>
      <c r="Y3" s="357" t="s">
        <v>22</v>
      </c>
      <c r="Z3" s="357" t="s">
        <v>22</v>
      </c>
      <c r="AA3" s="357" t="s">
        <v>22</v>
      </c>
      <c r="AB3" s="357" t="s">
        <v>22</v>
      </c>
      <c r="AC3" s="358">
        <f t="shared" ref="AC3:AC34" si="0">IF(COUNTIFS($H$1:$AB$1,"x",H3:AB3,"SIM")&gt;0,(D3+E3+F3),0)</f>
        <v>0</v>
      </c>
      <c r="AD3" s="358">
        <f t="shared" ref="AD3:AD34" si="1">IF(COUNTIFS($H$1:$AB$1,"x",H3:AB3,"SIM")&gt;0,G3,0)</f>
        <v>0</v>
      </c>
      <c r="AE3" s="342">
        <f t="shared" ref="AE3:AE34" si="2">COUNTIFS(H3:AB3,"SIM")</f>
        <v>21</v>
      </c>
    </row>
    <row r="4" spans="1:31" ht="30.75" customHeight="1">
      <c r="A4" s="353"/>
      <c r="B4" s="354" t="s">
        <v>448</v>
      </c>
      <c r="C4" s="354" t="s">
        <v>447</v>
      </c>
      <c r="D4" s="355">
        <v>0</v>
      </c>
      <c r="E4" s="355"/>
      <c r="F4" s="355"/>
      <c r="G4" s="356"/>
      <c r="H4" s="357" t="s">
        <v>22</v>
      </c>
      <c r="I4" s="357" t="s">
        <v>22</v>
      </c>
      <c r="J4" s="357" t="s">
        <v>22</v>
      </c>
      <c r="K4" s="357" t="s">
        <v>22</v>
      </c>
      <c r="L4" s="357" t="s">
        <v>22</v>
      </c>
      <c r="M4" s="357" t="s">
        <v>22</v>
      </c>
      <c r="N4" s="357" t="s">
        <v>22</v>
      </c>
      <c r="O4" s="357" t="s">
        <v>22</v>
      </c>
      <c r="P4" s="357" t="s">
        <v>22</v>
      </c>
      <c r="Q4" s="357" t="s">
        <v>22</v>
      </c>
      <c r="R4" s="357" t="s">
        <v>22</v>
      </c>
      <c r="S4" s="357" t="s">
        <v>22</v>
      </c>
      <c r="T4" s="357" t="s">
        <v>22</v>
      </c>
      <c r="U4" s="357" t="s">
        <v>22</v>
      </c>
      <c r="V4" s="357" t="s">
        <v>22</v>
      </c>
      <c r="W4" s="357" t="s">
        <v>22</v>
      </c>
      <c r="X4" s="357" t="s">
        <v>22</v>
      </c>
      <c r="Y4" s="357" t="s">
        <v>22</v>
      </c>
      <c r="Z4" s="357" t="s">
        <v>22</v>
      </c>
      <c r="AA4" s="357" t="s">
        <v>22</v>
      </c>
      <c r="AB4" s="357" t="s">
        <v>22</v>
      </c>
      <c r="AC4" s="358">
        <f t="shared" si="0"/>
        <v>0</v>
      </c>
      <c r="AD4" s="358">
        <f t="shared" si="1"/>
        <v>0</v>
      </c>
      <c r="AE4" s="342">
        <f t="shared" si="2"/>
        <v>21</v>
      </c>
    </row>
    <row r="5" spans="1:31" ht="30.75" customHeight="1">
      <c r="A5" s="353"/>
      <c r="B5" s="354" t="s">
        <v>449</v>
      </c>
      <c r="C5" s="354" t="s">
        <v>447</v>
      </c>
      <c r="D5" s="355">
        <v>0</v>
      </c>
      <c r="E5" s="355"/>
      <c r="F5" s="355"/>
      <c r="G5" s="356"/>
      <c r="H5" s="357" t="s">
        <v>22</v>
      </c>
      <c r="I5" s="357" t="s">
        <v>22</v>
      </c>
      <c r="J5" s="357" t="s">
        <v>22</v>
      </c>
      <c r="K5" s="357" t="s">
        <v>22</v>
      </c>
      <c r="L5" s="357" t="s">
        <v>22</v>
      </c>
      <c r="M5" s="357" t="s">
        <v>22</v>
      </c>
      <c r="N5" s="357" t="s">
        <v>22</v>
      </c>
      <c r="O5" s="357" t="s">
        <v>22</v>
      </c>
      <c r="P5" s="357" t="s">
        <v>22</v>
      </c>
      <c r="Q5" s="357" t="s">
        <v>22</v>
      </c>
      <c r="R5" s="357" t="s">
        <v>22</v>
      </c>
      <c r="S5" s="357" t="s">
        <v>22</v>
      </c>
      <c r="T5" s="357" t="s">
        <v>22</v>
      </c>
      <c r="U5" s="357" t="s">
        <v>22</v>
      </c>
      <c r="V5" s="357" t="s">
        <v>22</v>
      </c>
      <c r="W5" s="357" t="s">
        <v>22</v>
      </c>
      <c r="X5" s="357" t="s">
        <v>22</v>
      </c>
      <c r="Y5" s="357" t="s">
        <v>22</v>
      </c>
      <c r="Z5" s="357" t="s">
        <v>22</v>
      </c>
      <c r="AA5" s="357" t="s">
        <v>22</v>
      </c>
      <c r="AB5" s="357" t="s">
        <v>22</v>
      </c>
      <c r="AC5" s="358">
        <f t="shared" si="0"/>
        <v>0</v>
      </c>
      <c r="AD5" s="358">
        <f t="shared" si="1"/>
        <v>0</v>
      </c>
      <c r="AE5" s="342">
        <f t="shared" si="2"/>
        <v>21</v>
      </c>
    </row>
    <row r="6" spans="1:31" ht="30.75" customHeight="1">
      <c r="A6" s="610" t="s">
        <v>450</v>
      </c>
      <c r="B6" s="354" t="s">
        <v>451</v>
      </c>
      <c r="C6" s="354" t="s">
        <v>447</v>
      </c>
      <c r="D6" s="611">
        <v>6.9444444444444397E-3</v>
      </c>
      <c r="E6" s="612">
        <v>2.0833333333333301E-2</v>
      </c>
      <c r="F6" s="613">
        <v>0</v>
      </c>
      <c r="G6" s="602">
        <v>2.0833333333333301E-2</v>
      </c>
      <c r="H6" s="357" t="s">
        <v>22</v>
      </c>
      <c r="I6" s="357" t="s">
        <v>22</v>
      </c>
      <c r="J6" s="357" t="s">
        <v>22</v>
      </c>
      <c r="K6" s="357" t="s">
        <v>22</v>
      </c>
      <c r="L6" s="357" t="s">
        <v>22</v>
      </c>
      <c r="M6" s="357" t="s">
        <v>22</v>
      </c>
      <c r="N6" s="357" t="s">
        <v>22</v>
      </c>
      <c r="O6" s="357" t="s">
        <v>22</v>
      </c>
      <c r="P6" s="357" t="s">
        <v>22</v>
      </c>
      <c r="Q6" s="357" t="s">
        <v>22</v>
      </c>
      <c r="R6" s="357" t="s">
        <v>22</v>
      </c>
      <c r="S6" s="357" t="s">
        <v>22</v>
      </c>
      <c r="T6" s="357" t="s">
        <v>22</v>
      </c>
      <c r="U6" s="357" t="s">
        <v>22</v>
      </c>
      <c r="V6" s="357" t="s">
        <v>22</v>
      </c>
      <c r="W6" s="357" t="s">
        <v>22</v>
      </c>
      <c r="X6" s="357" t="s">
        <v>22</v>
      </c>
      <c r="Y6" s="357" t="s">
        <v>22</v>
      </c>
      <c r="Z6" s="357" t="s">
        <v>22</v>
      </c>
      <c r="AA6" s="357" t="s">
        <v>22</v>
      </c>
      <c r="AB6" s="357" t="s">
        <v>22</v>
      </c>
      <c r="AC6" s="358">
        <f t="shared" si="0"/>
        <v>2.7777777777777742E-2</v>
      </c>
      <c r="AD6" s="358">
        <f t="shared" si="1"/>
        <v>2.0833333333333301E-2</v>
      </c>
      <c r="AE6" s="342">
        <f t="shared" si="2"/>
        <v>21</v>
      </c>
    </row>
    <row r="7" spans="1:31" ht="30.75" customHeight="1">
      <c r="A7" s="610"/>
      <c r="B7" s="354" t="s">
        <v>452</v>
      </c>
      <c r="C7" s="354" t="s">
        <v>447</v>
      </c>
      <c r="D7" s="611"/>
      <c r="E7" s="612"/>
      <c r="F7" s="613"/>
      <c r="G7" s="602"/>
      <c r="H7" s="357" t="s">
        <v>22</v>
      </c>
      <c r="I7" s="357" t="s">
        <v>22</v>
      </c>
      <c r="J7" s="357" t="s">
        <v>22</v>
      </c>
      <c r="K7" s="357" t="s">
        <v>22</v>
      </c>
      <c r="L7" s="357" t="s">
        <v>22</v>
      </c>
      <c r="M7" s="357" t="s">
        <v>22</v>
      </c>
      <c r="N7" s="357" t="s">
        <v>22</v>
      </c>
      <c r="O7" s="357" t="s">
        <v>22</v>
      </c>
      <c r="P7" s="357" t="s">
        <v>22</v>
      </c>
      <c r="Q7" s="357" t="s">
        <v>22</v>
      </c>
      <c r="R7" s="357" t="s">
        <v>22</v>
      </c>
      <c r="S7" s="357" t="s">
        <v>22</v>
      </c>
      <c r="T7" s="357" t="s">
        <v>22</v>
      </c>
      <c r="U7" s="357" t="s">
        <v>22</v>
      </c>
      <c r="V7" s="357" t="s">
        <v>22</v>
      </c>
      <c r="W7" s="357" t="s">
        <v>22</v>
      </c>
      <c r="X7" s="357" t="s">
        <v>22</v>
      </c>
      <c r="Y7" s="357" t="s">
        <v>22</v>
      </c>
      <c r="Z7" s="357" t="s">
        <v>22</v>
      </c>
      <c r="AA7" s="357" t="s">
        <v>22</v>
      </c>
      <c r="AB7" s="357" t="s">
        <v>22</v>
      </c>
      <c r="AC7" s="358">
        <f t="shared" si="0"/>
        <v>0</v>
      </c>
      <c r="AD7" s="358">
        <f t="shared" si="1"/>
        <v>0</v>
      </c>
      <c r="AE7" s="342">
        <f t="shared" si="2"/>
        <v>21</v>
      </c>
    </row>
    <row r="8" spans="1:31" ht="30.75" customHeight="1">
      <c r="A8" s="610"/>
      <c r="B8" s="354" t="s">
        <v>453</v>
      </c>
      <c r="C8" s="354" t="s">
        <v>447</v>
      </c>
      <c r="D8" s="611"/>
      <c r="E8" s="612"/>
      <c r="F8" s="613"/>
      <c r="G8" s="602"/>
      <c r="H8" s="357" t="s">
        <v>22</v>
      </c>
      <c r="I8" s="357" t="s">
        <v>22</v>
      </c>
      <c r="J8" s="357" t="s">
        <v>22</v>
      </c>
      <c r="K8" s="357" t="s">
        <v>22</v>
      </c>
      <c r="L8" s="357" t="s">
        <v>22</v>
      </c>
      <c r="M8" s="357" t="s">
        <v>22</v>
      </c>
      <c r="N8" s="357" t="s">
        <v>22</v>
      </c>
      <c r="O8" s="357" t="s">
        <v>22</v>
      </c>
      <c r="P8" s="357" t="s">
        <v>22</v>
      </c>
      <c r="Q8" s="357" t="s">
        <v>22</v>
      </c>
      <c r="R8" s="357" t="s">
        <v>22</v>
      </c>
      <c r="S8" s="357" t="s">
        <v>22</v>
      </c>
      <c r="T8" s="357" t="s">
        <v>22</v>
      </c>
      <c r="U8" s="357" t="s">
        <v>22</v>
      </c>
      <c r="V8" s="357" t="s">
        <v>22</v>
      </c>
      <c r="W8" s="357" t="s">
        <v>22</v>
      </c>
      <c r="X8" s="357" t="s">
        <v>22</v>
      </c>
      <c r="Y8" s="357" t="s">
        <v>22</v>
      </c>
      <c r="Z8" s="357" t="s">
        <v>22</v>
      </c>
      <c r="AA8" s="357" t="s">
        <v>22</v>
      </c>
      <c r="AB8" s="357" t="s">
        <v>22</v>
      </c>
      <c r="AC8" s="358">
        <f t="shared" si="0"/>
        <v>0</v>
      </c>
      <c r="AD8" s="358">
        <f t="shared" si="1"/>
        <v>0</v>
      </c>
      <c r="AE8" s="342">
        <f t="shared" si="2"/>
        <v>21</v>
      </c>
    </row>
    <row r="9" spans="1:31" ht="30.75" customHeight="1">
      <c r="A9" s="341" t="s">
        <v>454</v>
      </c>
      <c r="B9" s="354" t="s">
        <v>455</v>
      </c>
      <c r="C9" s="354" t="s">
        <v>447</v>
      </c>
      <c r="D9" s="358">
        <v>6.9444444444444397E-3</v>
      </c>
      <c r="E9" s="358">
        <v>6.9444444444444397E-3</v>
      </c>
      <c r="F9" s="360">
        <v>0</v>
      </c>
      <c r="G9" s="359">
        <v>1.0416666666666701E-2</v>
      </c>
      <c r="H9" s="357" t="s">
        <v>22</v>
      </c>
      <c r="I9" s="357" t="s">
        <v>22</v>
      </c>
      <c r="J9" s="357" t="s">
        <v>22</v>
      </c>
      <c r="K9" s="357" t="s">
        <v>22</v>
      </c>
      <c r="L9" s="357" t="s">
        <v>22</v>
      </c>
      <c r="M9" s="357" t="s">
        <v>22</v>
      </c>
      <c r="N9" s="357" t="s">
        <v>22</v>
      </c>
      <c r="O9" s="357" t="s">
        <v>22</v>
      </c>
      <c r="P9" s="357" t="s">
        <v>22</v>
      </c>
      <c r="Q9" s="357" t="s">
        <v>22</v>
      </c>
      <c r="R9" s="357" t="s">
        <v>22</v>
      </c>
      <c r="S9" s="357" t="s">
        <v>22</v>
      </c>
      <c r="T9" s="357" t="s">
        <v>22</v>
      </c>
      <c r="U9" s="357" t="s">
        <v>22</v>
      </c>
      <c r="V9" s="357" t="s">
        <v>22</v>
      </c>
      <c r="W9" s="357" t="s">
        <v>22</v>
      </c>
      <c r="X9" s="357" t="s">
        <v>22</v>
      </c>
      <c r="Y9" s="357" t="s">
        <v>22</v>
      </c>
      <c r="Z9" s="357" t="s">
        <v>22</v>
      </c>
      <c r="AA9" s="357" t="s">
        <v>22</v>
      </c>
      <c r="AB9" s="357" t="s">
        <v>22</v>
      </c>
      <c r="AC9" s="358">
        <f t="shared" si="0"/>
        <v>1.3888888888888879E-2</v>
      </c>
      <c r="AD9" s="358">
        <f t="shared" si="1"/>
        <v>1.0416666666666701E-2</v>
      </c>
      <c r="AE9" s="342">
        <f t="shared" si="2"/>
        <v>21</v>
      </c>
    </row>
    <row r="10" spans="1:31" ht="15.75" customHeight="1">
      <c r="A10" s="341" t="s">
        <v>456</v>
      </c>
      <c r="B10" s="607" t="s">
        <v>457</v>
      </c>
      <c r="C10" s="607" t="s">
        <v>447</v>
      </c>
      <c r="D10" s="599">
        <v>9.375E-2</v>
      </c>
      <c r="E10" s="600">
        <v>2.0833333333333301E-2</v>
      </c>
      <c r="F10" s="601">
        <v>2.0833333333333301E-2</v>
      </c>
      <c r="G10" s="602">
        <v>2.0833333333333301E-2</v>
      </c>
      <c r="H10" s="357" t="s">
        <v>22</v>
      </c>
      <c r="I10" s="357" t="s">
        <v>22</v>
      </c>
      <c r="J10" s="357" t="s">
        <v>22</v>
      </c>
      <c r="K10" s="357" t="s">
        <v>22</v>
      </c>
      <c r="L10" s="357" t="s">
        <v>22</v>
      </c>
      <c r="M10" s="357" t="s">
        <v>22</v>
      </c>
      <c r="N10" s="357" t="s">
        <v>22</v>
      </c>
      <c r="O10" s="357" t="s">
        <v>22</v>
      </c>
      <c r="P10" s="357" t="s">
        <v>22</v>
      </c>
      <c r="Q10" s="357" t="s">
        <v>22</v>
      </c>
      <c r="R10" s="357" t="s">
        <v>22</v>
      </c>
      <c r="S10" s="357" t="s">
        <v>22</v>
      </c>
      <c r="T10" s="357" t="s">
        <v>22</v>
      </c>
      <c r="U10" s="357" t="s">
        <v>22</v>
      </c>
      <c r="V10" s="357" t="s">
        <v>22</v>
      </c>
      <c r="W10" s="357" t="s">
        <v>22</v>
      </c>
      <c r="X10" s="357" t="s">
        <v>22</v>
      </c>
      <c r="Y10" s="357" t="s">
        <v>22</v>
      </c>
      <c r="Z10" s="357" t="s">
        <v>22</v>
      </c>
      <c r="AA10" s="357" t="s">
        <v>22</v>
      </c>
      <c r="AB10" s="357" t="s">
        <v>22</v>
      </c>
      <c r="AC10" s="358">
        <f t="shared" si="0"/>
        <v>0.1354166666666666</v>
      </c>
      <c r="AD10" s="358">
        <f t="shared" si="1"/>
        <v>2.0833333333333301E-2</v>
      </c>
      <c r="AE10" s="342">
        <f t="shared" si="2"/>
        <v>21</v>
      </c>
    </row>
    <row r="11" spans="1:31" ht="15.75" customHeight="1">
      <c r="A11" s="341" t="s">
        <v>458</v>
      </c>
      <c r="B11" s="607"/>
      <c r="C11" s="607"/>
      <c r="D11" s="599"/>
      <c r="E11" s="600"/>
      <c r="F11" s="601"/>
      <c r="G11" s="602"/>
      <c r="H11" s="357" t="s">
        <v>22</v>
      </c>
      <c r="I11" s="357" t="s">
        <v>22</v>
      </c>
      <c r="J11" s="357" t="s">
        <v>22</v>
      </c>
      <c r="K11" s="357" t="s">
        <v>22</v>
      </c>
      <c r="L11" s="357" t="s">
        <v>22</v>
      </c>
      <c r="M11" s="357" t="s">
        <v>22</v>
      </c>
      <c r="N11" s="357" t="s">
        <v>22</v>
      </c>
      <c r="O11" s="357" t="s">
        <v>22</v>
      </c>
      <c r="P11" s="357" t="s">
        <v>22</v>
      </c>
      <c r="Q11" s="357" t="s">
        <v>22</v>
      </c>
      <c r="R11" s="357" t="s">
        <v>22</v>
      </c>
      <c r="S11" s="357" t="s">
        <v>22</v>
      </c>
      <c r="T11" s="357" t="s">
        <v>22</v>
      </c>
      <c r="U11" s="357" t="s">
        <v>22</v>
      </c>
      <c r="V11" s="357" t="s">
        <v>22</v>
      </c>
      <c r="W11" s="357" t="s">
        <v>22</v>
      </c>
      <c r="X11" s="357" t="s">
        <v>22</v>
      </c>
      <c r="Y11" s="357" t="s">
        <v>22</v>
      </c>
      <c r="Z11" s="357" t="s">
        <v>22</v>
      </c>
      <c r="AA11" s="357" t="s">
        <v>22</v>
      </c>
      <c r="AB11" s="357" t="s">
        <v>22</v>
      </c>
      <c r="AC11" s="358">
        <f t="shared" si="0"/>
        <v>0</v>
      </c>
      <c r="AD11" s="358">
        <f t="shared" si="1"/>
        <v>0</v>
      </c>
      <c r="AE11" s="342">
        <f t="shared" si="2"/>
        <v>21</v>
      </c>
    </row>
    <row r="12" spans="1:31" ht="15.75" customHeight="1">
      <c r="A12" s="341" t="s">
        <v>459</v>
      </c>
      <c r="B12" s="607" t="s">
        <v>460</v>
      </c>
      <c r="C12" s="607" t="s">
        <v>447</v>
      </c>
      <c r="D12" s="595">
        <v>0.125</v>
      </c>
      <c r="E12" s="595">
        <v>0</v>
      </c>
      <c r="F12" s="596">
        <v>0</v>
      </c>
      <c r="G12" s="597">
        <v>2.0833333333333301E-2</v>
      </c>
      <c r="H12" s="357" t="s">
        <v>22</v>
      </c>
      <c r="I12" s="357" t="s">
        <v>22</v>
      </c>
      <c r="J12" s="357" t="s">
        <v>22</v>
      </c>
      <c r="K12" s="357" t="s">
        <v>22</v>
      </c>
      <c r="L12" s="357" t="s">
        <v>22</v>
      </c>
      <c r="M12" s="357" t="s">
        <v>22</v>
      </c>
      <c r="N12" s="357" t="s">
        <v>22</v>
      </c>
      <c r="O12" s="357" t="s">
        <v>22</v>
      </c>
      <c r="P12" s="357" t="s">
        <v>22</v>
      </c>
      <c r="Q12" s="357" t="s">
        <v>22</v>
      </c>
      <c r="R12" s="357" t="s">
        <v>22</v>
      </c>
      <c r="S12" s="357" t="s">
        <v>22</v>
      </c>
      <c r="T12" s="357" t="s">
        <v>22</v>
      </c>
      <c r="U12" s="357" t="s">
        <v>22</v>
      </c>
      <c r="V12" s="357" t="s">
        <v>22</v>
      </c>
      <c r="W12" s="357" t="s">
        <v>22</v>
      </c>
      <c r="X12" s="357" t="s">
        <v>22</v>
      </c>
      <c r="Y12" s="357" t="s">
        <v>22</v>
      </c>
      <c r="Z12" s="357" t="s">
        <v>22</v>
      </c>
      <c r="AA12" s="357" t="s">
        <v>22</v>
      </c>
      <c r="AB12" s="357" t="s">
        <v>22</v>
      </c>
      <c r="AC12" s="358">
        <f t="shared" si="0"/>
        <v>0.125</v>
      </c>
      <c r="AD12" s="358">
        <f t="shared" si="1"/>
        <v>2.0833333333333301E-2</v>
      </c>
      <c r="AE12" s="342">
        <f t="shared" si="2"/>
        <v>21</v>
      </c>
    </row>
    <row r="13" spans="1:31" ht="15.75" customHeight="1">
      <c r="A13" s="341" t="s">
        <v>461</v>
      </c>
      <c r="B13" s="607"/>
      <c r="C13" s="607"/>
      <c r="D13" s="595"/>
      <c r="E13" s="595"/>
      <c r="F13" s="596"/>
      <c r="G13" s="597"/>
      <c r="H13" s="357" t="s">
        <v>22</v>
      </c>
      <c r="I13" s="357" t="s">
        <v>22</v>
      </c>
      <c r="J13" s="357" t="s">
        <v>22</v>
      </c>
      <c r="K13" s="357" t="s">
        <v>22</v>
      </c>
      <c r="L13" s="357" t="s">
        <v>22</v>
      </c>
      <c r="M13" s="357" t="s">
        <v>22</v>
      </c>
      <c r="N13" s="357" t="s">
        <v>22</v>
      </c>
      <c r="O13" s="357" t="s">
        <v>22</v>
      </c>
      <c r="P13" s="357" t="s">
        <v>22</v>
      </c>
      <c r="Q13" s="357" t="s">
        <v>22</v>
      </c>
      <c r="R13" s="357" t="s">
        <v>22</v>
      </c>
      <c r="S13" s="357" t="s">
        <v>22</v>
      </c>
      <c r="T13" s="357" t="s">
        <v>22</v>
      </c>
      <c r="U13" s="357" t="s">
        <v>22</v>
      </c>
      <c r="V13" s="357" t="s">
        <v>22</v>
      </c>
      <c r="W13" s="357" t="s">
        <v>22</v>
      </c>
      <c r="X13" s="357" t="s">
        <v>22</v>
      </c>
      <c r="Y13" s="357" t="s">
        <v>22</v>
      </c>
      <c r="Z13" s="357" t="s">
        <v>22</v>
      </c>
      <c r="AA13" s="357" t="s">
        <v>22</v>
      </c>
      <c r="AB13" s="357" t="s">
        <v>22</v>
      </c>
      <c r="AC13" s="358">
        <f t="shared" si="0"/>
        <v>0</v>
      </c>
      <c r="AD13" s="358">
        <f t="shared" si="1"/>
        <v>0</v>
      </c>
      <c r="AE13" s="342">
        <f t="shared" si="2"/>
        <v>21</v>
      </c>
    </row>
    <row r="14" spans="1:31" ht="15.75" customHeight="1">
      <c r="A14" s="341" t="s">
        <v>462</v>
      </c>
      <c r="B14" s="607"/>
      <c r="C14" s="607"/>
      <c r="D14" s="595"/>
      <c r="E14" s="595"/>
      <c r="F14" s="596"/>
      <c r="G14" s="597"/>
      <c r="H14" s="357" t="s">
        <v>22</v>
      </c>
      <c r="I14" s="357" t="s">
        <v>22</v>
      </c>
      <c r="J14" s="357" t="s">
        <v>22</v>
      </c>
      <c r="K14" s="357" t="s">
        <v>22</v>
      </c>
      <c r="L14" s="357" t="s">
        <v>22</v>
      </c>
      <c r="M14" s="357" t="s">
        <v>22</v>
      </c>
      <c r="N14" s="357" t="s">
        <v>22</v>
      </c>
      <c r="O14" s="357" t="s">
        <v>22</v>
      </c>
      <c r="P14" s="357" t="s">
        <v>22</v>
      </c>
      <c r="Q14" s="357" t="s">
        <v>22</v>
      </c>
      <c r="R14" s="357" t="s">
        <v>22</v>
      </c>
      <c r="S14" s="357" t="s">
        <v>22</v>
      </c>
      <c r="T14" s="357" t="s">
        <v>22</v>
      </c>
      <c r="U14" s="357" t="s">
        <v>22</v>
      </c>
      <c r="V14" s="357" t="s">
        <v>22</v>
      </c>
      <c r="W14" s="357" t="s">
        <v>22</v>
      </c>
      <c r="X14" s="357" t="s">
        <v>22</v>
      </c>
      <c r="Y14" s="357" t="s">
        <v>22</v>
      </c>
      <c r="Z14" s="357" t="s">
        <v>22</v>
      </c>
      <c r="AA14" s="357" t="s">
        <v>22</v>
      </c>
      <c r="AB14" s="357" t="s">
        <v>22</v>
      </c>
      <c r="AC14" s="358">
        <f t="shared" si="0"/>
        <v>0</v>
      </c>
      <c r="AD14" s="358">
        <f t="shared" si="1"/>
        <v>0</v>
      </c>
      <c r="AE14" s="342">
        <f t="shared" si="2"/>
        <v>21</v>
      </c>
    </row>
    <row r="15" spans="1:31" ht="30.75" customHeight="1">
      <c r="A15" s="341" t="s">
        <v>463</v>
      </c>
      <c r="B15" s="354" t="s">
        <v>464</v>
      </c>
      <c r="C15" s="354" t="s">
        <v>447</v>
      </c>
      <c r="D15" s="358">
        <v>6.9444444444444397E-3</v>
      </c>
      <c r="E15" s="358">
        <v>6.9444444444444397E-3</v>
      </c>
      <c r="F15" s="360">
        <v>0</v>
      </c>
      <c r="G15" s="359">
        <v>1.0416666666666701E-2</v>
      </c>
      <c r="H15" s="357" t="s">
        <v>22</v>
      </c>
      <c r="I15" s="357" t="s">
        <v>22</v>
      </c>
      <c r="J15" s="357" t="s">
        <v>22</v>
      </c>
      <c r="K15" s="357" t="s">
        <v>22</v>
      </c>
      <c r="L15" s="357" t="s">
        <v>22</v>
      </c>
      <c r="M15" s="357" t="s">
        <v>22</v>
      </c>
      <c r="N15" s="357" t="s">
        <v>22</v>
      </c>
      <c r="O15" s="357" t="s">
        <v>22</v>
      </c>
      <c r="P15" s="357" t="s">
        <v>22</v>
      </c>
      <c r="Q15" s="357" t="s">
        <v>22</v>
      </c>
      <c r="R15" s="357" t="s">
        <v>22</v>
      </c>
      <c r="S15" s="357" t="s">
        <v>22</v>
      </c>
      <c r="T15" s="357" t="s">
        <v>22</v>
      </c>
      <c r="U15" s="357" t="s">
        <v>22</v>
      </c>
      <c r="V15" s="357" t="s">
        <v>22</v>
      </c>
      <c r="W15" s="357" t="s">
        <v>22</v>
      </c>
      <c r="X15" s="357" t="s">
        <v>22</v>
      </c>
      <c r="Y15" s="357" t="s">
        <v>22</v>
      </c>
      <c r="Z15" s="357" t="s">
        <v>22</v>
      </c>
      <c r="AA15" s="357" t="s">
        <v>22</v>
      </c>
      <c r="AB15" s="357" t="s">
        <v>22</v>
      </c>
      <c r="AC15" s="358">
        <f t="shared" si="0"/>
        <v>1.3888888888888879E-2</v>
      </c>
      <c r="AD15" s="358">
        <f t="shared" si="1"/>
        <v>1.0416666666666701E-2</v>
      </c>
      <c r="AE15" s="342">
        <f t="shared" si="2"/>
        <v>21</v>
      </c>
    </row>
    <row r="16" spans="1:31" ht="15.75" customHeight="1">
      <c r="A16" s="341" t="s">
        <v>465</v>
      </c>
      <c r="B16" s="361" t="s">
        <v>466</v>
      </c>
      <c r="C16" s="362" t="s">
        <v>467</v>
      </c>
      <c r="D16" s="358">
        <v>6.9444444444444397E-3</v>
      </c>
      <c r="E16" s="358">
        <v>6.9444444444444397E-3</v>
      </c>
      <c r="F16" s="360">
        <v>6.9444444444444397E-3</v>
      </c>
      <c r="G16" s="359"/>
      <c r="H16" s="357" t="s">
        <v>18</v>
      </c>
      <c r="I16" s="357" t="s">
        <v>22</v>
      </c>
      <c r="J16" s="357" t="s">
        <v>22</v>
      </c>
      <c r="K16" s="357" t="s">
        <v>22</v>
      </c>
      <c r="L16" s="357" t="s">
        <v>22</v>
      </c>
      <c r="M16" s="357" t="s">
        <v>22</v>
      </c>
      <c r="N16" s="357" t="s">
        <v>22</v>
      </c>
      <c r="O16" s="357" t="s">
        <v>22</v>
      </c>
      <c r="P16" s="357" t="s">
        <v>22</v>
      </c>
      <c r="Q16" s="357" t="s">
        <v>22</v>
      </c>
      <c r="R16" s="357" t="s">
        <v>22</v>
      </c>
      <c r="S16" s="357" t="s">
        <v>22</v>
      </c>
      <c r="T16" s="357" t="s">
        <v>22</v>
      </c>
      <c r="U16" s="357" t="s">
        <v>22</v>
      </c>
      <c r="V16" s="357" t="s">
        <v>22</v>
      </c>
      <c r="W16" s="357" t="s">
        <v>22</v>
      </c>
      <c r="X16" s="357" t="s">
        <v>22</v>
      </c>
      <c r="Y16" s="357" t="s">
        <v>22</v>
      </c>
      <c r="Z16" s="357" t="s">
        <v>22</v>
      </c>
      <c r="AA16" s="357" t="s">
        <v>22</v>
      </c>
      <c r="AB16" s="357" t="s">
        <v>22</v>
      </c>
      <c r="AC16" s="358">
        <f t="shared" si="0"/>
        <v>2.0833333333333318E-2</v>
      </c>
      <c r="AD16" s="358">
        <f t="shared" si="1"/>
        <v>0</v>
      </c>
      <c r="AE16" s="342">
        <f t="shared" si="2"/>
        <v>20</v>
      </c>
    </row>
    <row r="17" spans="1:32" ht="15.75" customHeight="1">
      <c r="A17" s="341" t="s">
        <v>468</v>
      </c>
      <c r="B17" s="361" t="s">
        <v>469</v>
      </c>
      <c r="C17" s="362" t="s">
        <v>467</v>
      </c>
      <c r="D17" s="358">
        <v>6.9444444444444397E-3</v>
      </c>
      <c r="E17" s="358">
        <v>6.9444444444444397E-3</v>
      </c>
      <c r="F17" s="360">
        <v>6.9444444444444397E-3</v>
      </c>
      <c r="G17" s="359"/>
      <c r="H17" s="357" t="s">
        <v>18</v>
      </c>
      <c r="I17" s="357" t="s">
        <v>22</v>
      </c>
      <c r="J17" s="357" t="s">
        <v>22</v>
      </c>
      <c r="K17" s="357" t="s">
        <v>22</v>
      </c>
      <c r="L17" s="357" t="s">
        <v>22</v>
      </c>
      <c r="M17" s="357" t="s">
        <v>22</v>
      </c>
      <c r="N17" s="357" t="s">
        <v>22</v>
      </c>
      <c r="O17" s="357" t="s">
        <v>22</v>
      </c>
      <c r="P17" s="357" t="s">
        <v>22</v>
      </c>
      <c r="Q17" s="357" t="s">
        <v>22</v>
      </c>
      <c r="R17" s="357" t="s">
        <v>22</v>
      </c>
      <c r="S17" s="357" t="s">
        <v>22</v>
      </c>
      <c r="T17" s="357" t="s">
        <v>22</v>
      </c>
      <c r="U17" s="357" t="s">
        <v>22</v>
      </c>
      <c r="V17" s="357" t="s">
        <v>22</v>
      </c>
      <c r="W17" s="357" t="s">
        <v>22</v>
      </c>
      <c r="X17" s="357" t="s">
        <v>22</v>
      </c>
      <c r="Y17" s="357" t="s">
        <v>22</v>
      </c>
      <c r="Z17" s="357" t="s">
        <v>22</v>
      </c>
      <c r="AA17" s="357" t="s">
        <v>22</v>
      </c>
      <c r="AB17" s="357" t="s">
        <v>22</v>
      </c>
      <c r="AC17" s="358">
        <f t="shared" si="0"/>
        <v>2.0833333333333318E-2</v>
      </c>
      <c r="AD17" s="358">
        <f t="shared" si="1"/>
        <v>0</v>
      </c>
      <c r="AE17" s="342">
        <f t="shared" si="2"/>
        <v>20</v>
      </c>
    </row>
    <row r="18" spans="1:32" ht="30.75" customHeight="1">
      <c r="A18" s="341" t="s">
        <v>470</v>
      </c>
      <c r="B18" s="361" t="s">
        <v>471</v>
      </c>
      <c r="C18" s="362" t="s">
        <v>447</v>
      </c>
      <c r="D18" s="358">
        <v>6.9444444444444397E-3</v>
      </c>
      <c r="E18" s="358">
        <v>6.9444444444444397E-3</v>
      </c>
      <c r="F18" s="360">
        <v>6.9444444444444397E-3</v>
      </c>
      <c r="G18" s="359">
        <v>1.7361111111111101E-2</v>
      </c>
      <c r="H18" s="357" t="s">
        <v>22</v>
      </c>
      <c r="I18" s="357" t="s">
        <v>22</v>
      </c>
      <c r="J18" s="357" t="s">
        <v>22</v>
      </c>
      <c r="K18" s="357" t="s">
        <v>22</v>
      </c>
      <c r="L18" s="357" t="s">
        <v>22</v>
      </c>
      <c r="M18" s="357" t="s">
        <v>22</v>
      </c>
      <c r="N18" s="357" t="s">
        <v>22</v>
      </c>
      <c r="O18" s="357" t="s">
        <v>22</v>
      </c>
      <c r="P18" s="357" t="s">
        <v>22</v>
      </c>
      <c r="Q18" s="357" t="s">
        <v>22</v>
      </c>
      <c r="R18" s="357" t="s">
        <v>22</v>
      </c>
      <c r="S18" s="357" t="s">
        <v>22</v>
      </c>
      <c r="T18" s="357" t="s">
        <v>22</v>
      </c>
      <c r="U18" s="357" t="s">
        <v>22</v>
      </c>
      <c r="V18" s="357" t="s">
        <v>22</v>
      </c>
      <c r="W18" s="357" t="s">
        <v>22</v>
      </c>
      <c r="X18" s="357" t="s">
        <v>22</v>
      </c>
      <c r="Y18" s="357" t="s">
        <v>22</v>
      </c>
      <c r="Z18" s="357" t="s">
        <v>22</v>
      </c>
      <c r="AA18" s="357" t="s">
        <v>22</v>
      </c>
      <c r="AB18" s="357" t="s">
        <v>22</v>
      </c>
      <c r="AC18" s="358">
        <f t="shared" si="0"/>
        <v>2.0833333333333318E-2</v>
      </c>
      <c r="AD18" s="358">
        <f t="shared" si="1"/>
        <v>1.7361111111111101E-2</v>
      </c>
      <c r="AE18" s="342">
        <f t="shared" si="2"/>
        <v>21</v>
      </c>
    </row>
    <row r="19" spans="1:32" ht="15.75" customHeight="1">
      <c r="A19" s="341" t="s">
        <v>472</v>
      </c>
      <c r="B19" s="607" t="s">
        <v>473</v>
      </c>
      <c r="C19" s="608" t="s">
        <v>447</v>
      </c>
      <c r="D19" s="595">
        <v>1.38888888888889E-2</v>
      </c>
      <c r="E19" s="600">
        <v>2.0833333333333301E-2</v>
      </c>
      <c r="F19" s="609">
        <v>2.7777777777777801E-2</v>
      </c>
      <c r="G19" s="602">
        <v>4.1666666666666699E-2</v>
      </c>
      <c r="H19" s="357" t="s">
        <v>22</v>
      </c>
      <c r="I19" s="357" t="s">
        <v>22</v>
      </c>
      <c r="J19" s="357" t="s">
        <v>22</v>
      </c>
      <c r="K19" s="357" t="s">
        <v>22</v>
      </c>
      <c r="L19" s="357" t="s">
        <v>22</v>
      </c>
      <c r="M19" s="357" t="s">
        <v>22</v>
      </c>
      <c r="N19" s="357" t="s">
        <v>22</v>
      </c>
      <c r="O19" s="357" t="s">
        <v>22</v>
      </c>
      <c r="P19" s="357" t="s">
        <v>22</v>
      </c>
      <c r="Q19" s="357" t="s">
        <v>22</v>
      </c>
      <c r="R19" s="357" t="s">
        <v>22</v>
      </c>
      <c r="S19" s="357" t="s">
        <v>22</v>
      </c>
      <c r="T19" s="357" t="s">
        <v>22</v>
      </c>
      <c r="U19" s="357" t="s">
        <v>22</v>
      </c>
      <c r="V19" s="357" t="s">
        <v>22</v>
      </c>
      <c r="W19" s="357" t="s">
        <v>22</v>
      </c>
      <c r="X19" s="357" t="s">
        <v>22</v>
      </c>
      <c r="Y19" s="357" t="s">
        <v>22</v>
      </c>
      <c r="Z19" s="357" t="s">
        <v>22</v>
      </c>
      <c r="AA19" s="357" t="s">
        <v>22</v>
      </c>
      <c r="AB19" s="357" t="s">
        <v>22</v>
      </c>
      <c r="AC19" s="358">
        <f t="shared" si="0"/>
        <v>6.25E-2</v>
      </c>
      <c r="AD19" s="358">
        <f t="shared" si="1"/>
        <v>4.1666666666666699E-2</v>
      </c>
      <c r="AE19" s="342">
        <f t="shared" si="2"/>
        <v>21</v>
      </c>
    </row>
    <row r="20" spans="1:32" ht="15.75" customHeight="1">
      <c r="A20" s="341" t="s">
        <v>474</v>
      </c>
      <c r="B20" s="607"/>
      <c r="C20" s="608"/>
      <c r="D20" s="595"/>
      <c r="E20" s="600"/>
      <c r="F20" s="609"/>
      <c r="G20" s="602"/>
      <c r="H20" s="357" t="s">
        <v>22</v>
      </c>
      <c r="I20" s="357" t="s">
        <v>22</v>
      </c>
      <c r="J20" s="357" t="s">
        <v>22</v>
      </c>
      <c r="K20" s="357" t="s">
        <v>22</v>
      </c>
      <c r="L20" s="357" t="s">
        <v>22</v>
      </c>
      <c r="M20" s="357" t="s">
        <v>22</v>
      </c>
      <c r="N20" s="357" t="s">
        <v>22</v>
      </c>
      <c r="O20" s="357" t="s">
        <v>22</v>
      </c>
      <c r="P20" s="357" t="s">
        <v>22</v>
      </c>
      <c r="Q20" s="357" t="s">
        <v>22</v>
      </c>
      <c r="R20" s="357" t="s">
        <v>22</v>
      </c>
      <c r="S20" s="357" t="s">
        <v>22</v>
      </c>
      <c r="T20" s="357" t="s">
        <v>22</v>
      </c>
      <c r="U20" s="357" t="s">
        <v>22</v>
      </c>
      <c r="V20" s="357" t="s">
        <v>22</v>
      </c>
      <c r="W20" s="357" t="s">
        <v>22</v>
      </c>
      <c r="X20" s="357" t="s">
        <v>22</v>
      </c>
      <c r="Y20" s="357" t="s">
        <v>22</v>
      </c>
      <c r="Z20" s="357" t="s">
        <v>22</v>
      </c>
      <c r="AA20" s="357" t="s">
        <v>22</v>
      </c>
      <c r="AB20" s="357" t="s">
        <v>22</v>
      </c>
      <c r="AC20" s="358">
        <f t="shared" si="0"/>
        <v>0</v>
      </c>
      <c r="AD20" s="358">
        <f t="shared" si="1"/>
        <v>0</v>
      </c>
      <c r="AE20" s="342">
        <f t="shared" si="2"/>
        <v>21</v>
      </c>
    </row>
    <row r="21" spans="1:32" ht="15.75" customHeight="1">
      <c r="A21" s="341" t="s">
        <v>475</v>
      </c>
      <c r="B21" s="607"/>
      <c r="C21" s="608"/>
      <c r="D21" s="595"/>
      <c r="E21" s="600"/>
      <c r="F21" s="609"/>
      <c r="G21" s="602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357"/>
      <c r="AB21" s="357"/>
      <c r="AC21" s="358">
        <f t="shared" si="0"/>
        <v>0</v>
      </c>
      <c r="AD21" s="358">
        <f t="shared" si="1"/>
        <v>0</v>
      </c>
      <c r="AE21" s="342">
        <f t="shared" si="2"/>
        <v>0</v>
      </c>
    </row>
    <row r="22" spans="1:32" ht="15.75" customHeight="1">
      <c r="A22" s="341" t="s">
        <v>476</v>
      </c>
      <c r="B22" s="361" t="s">
        <v>477</v>
      </c>
      <c r="C22" s="362" t="s">
        <v>467</v>
      </c>
      <c r="D22" s="358">
        <v>0.125</v>
      </c>
      <c r="E22" s="358">
        <v>0</v>
      </c>
      <c r="F22" s="360">
        <v>0</v>
      </c>
      <c r="G22" s="359">
        <v>1.38888888888889E-2</v>
      </c>
      <c r="H22" s="357" t="s">
        <v>22</v>
      </c>
      <c r="I22" s="357" t="s">
        <v>22</v>
      </c>
      <c r="J22" s="357" t="s">
        <v>22</v>
      </c>
      <c r="K22" s="357" t="s">
        <v>22</v>
      </c>
      <c r="L22" s="357" t="s">
        <v>22</v>
      </c>
      <c r="M22" s="357" t="s">
        <v>22</v>
      </c>
      <c r="N22" s="357" t="s">
        <v>22</v>
      </c>
      <c r="O22" s="357" t="s">
        <v>22</v>
      </c>
      <c r="P22" s="357" t="s">
        <v>22</v>
      </c>
      <c r="Q22" s="357" t="s">
        <v>22</v>
      </c>
      <c r="R22" s="357" t="s">
        <v>22</v>
      </c>
      <c r="S22" s="357" t="s">
        <v>22</v>
      </c>
      <c r="T22" s="357" t="s">
        <v>22</v>
      </c>
      <c r="U22" s="357" t="s">
        <v>22</v>
      </c>
      <c r="V22" s="357" t="s">
        <v>22</v>
      </c>
      <c r="W22" s="357" t="s">
        <v>22</v>
      </c>
      <c r="X22" s="357" t="s">
        <v>22</v>
      </c>
      <c r="Y22" s="357" t="s">
        <v>22</v>
      </c>
      <c r="Z22" s="357" t="s">
        <v>22</v>
      </c>
      <c r="AA22" s="357" t="s">
        <v>22</v>
      </c>
      <c r="AB22" s="357" t="s">
        <v>22</v>
      </c>
      <c r="AC22" s="358">
        <f t="shared" si="0"/>
        <v>0.125</v>
      </c>
      <c r="AD22" s="358">
        <f t="shared" si="1"/>
        <v>1.38888888888889E-2</v>
      </c>
      <c r="AE22" s="342">
        <f t="shared" si="2"/>
        <v>21</v>
      </c>
    </row>
    <row r="23" spans="1:32" ht="15.75" customHeight="1">
      <c r="A23" s="341" t="s">
        <v>478</v>
      </c>
      <c r="B23" s="361" t="s">
        <v>479</v>
      </c>
      <c r="C23" s="362" t="s">
        <v>467</v>
      </c>
      <c r="D23" s="358">
        <v>6.9444444444444397E-3</v>
      </c>
      <c r="E23" s="358">
        <v>1.7361111111111101E-2</v>
      </c>
      <c r="F23" s="360">
        <v>1.7361111111111101E-2</v>
      </c>
      <c r="G23" s="359">
        <v>1.38888888888889E-2</v>
      </c>
      <c r="H23" s="357" t="s">
        <v>18</v>
      </c>
      <c r="I23" s="357" t="s">
        <v>22</v>
      </c>
      <c r="J23" s="357" t="s">
        <v>22</v>
      </c>
      <c r="K23" s="357" t="s">
        <v>22</v>
      </c>
      <c r="L23" s="357" t="s">
        <v>22</v>
      </c>
      <c r="M23" s="357" t="s">
        <v>22</v>
      </c>
      <c r="N23" s="357" t="s">
        <v>22</v>
      </c>
      <c r="O23" s="357" t="s">
        <v>22</v>
      </c>
      <c r="P23" s="357" t="s">
        <v>22</v>
      </c>
      <c r="Q23" s="357" t="s">
        <v>22</v>
      </c>
      <c r="R23" s="357" t="s">
        <v>22</v>
      </c>
      <c r="S23" s="357" t="s">
        <v>22</v>
      </c>
      <c r="T23" s="357" t="s">
        <v>22</v>
      </c>
      <c r="U23" s="357" t="s">
        <v>22</v>
      </c>
      <c r="V23" s="357" t="s">
        <v>22</v>
      </c>
      <c r="W23" s="357" t="s">
        <v>22</v>
      </c>
      <c r="X23" s="357" t="s">
        <v>22</v>
      </c>
      <c r="Y23" s="357" t="s">
        <v>22</v>
      </c>
      <c r="Z23" s="357" t="s">
        <v>22</v>
      </c>
      <c r="AA23" s="357" t="s">
        <v>22</v>
      </c>
      <c r="AB23" s="357" t="s">
        <v>22</v>
      </c>
      <c r="AC23" s="358">
        <f t="shared" si="0"/>
        <v>4.1666666666666644E-2</v>
      </c>
      <c r="AD23" s="358">
        <f t="shared" si="1"/>
        <v>1.38888888888889E-2</v>
      </c>
      <c r="AE23" s="342">
        <f t="shared" si="2"/>
        <v>20</v>
      </c>
    </row>
    <row r="24" spans="1:32" ht="15.75" customHeight="1">
      <c r="A24" s="341" t="s">
        <v>480</v>
      </c>
      <c r="B24" s="363" t="s">
        <v>481</v>
      </c>
      <c r="C24" s="362" t="s">
        <v>467</v>
      </c>
      <c r="D24" s="358">
        <v>0.45833333333333298</v>
      </c>
      <c r="E24" s="358">
        <v>0</v>
      </c>
      <c r="F24" s="360">
        <v>0</v>
      </c>
      <c r="G24" s="359">
        <v>8.3333333333333301E-2</v>
      </c>
      <c r="H24" s="357" t="s">
        <v>18</v>
      </c>
      <c r="I24" s="357" t="s">
        <v>22</v>
      </c>
      <c r="J24" s="357" t="s">
        <v>18</v>
      </c>
      <c r="K24" s="357" t="s">
        <v>18</v>
      </c>
      <c r="L24" s="357" t="s">
        <v>18</v>
      </c>
      <c r="M24" s="357" t="s">
        <v>22</v>
      </c>
      <c r="N24" s="357" t="s">
        <v>18</v>
      </c>
      <c r="O24" s="357" t="s">
        <v>22</v>
      </c>
      <c r="P24" s="357" t="s">
        <v>22</v>
      </c>
      <c r="Q24" s="357" t="s">
        <v>22</v>
      </c>
      <c r="R24" s="357" t="s">
        <v>22</v>
      </c>
      <c r="S24" s="357" t="s">
        <v>18</v>
      </c>
      <c r="T24" s="357" t="s">
        <v>18</v>
      </c>
      <c r="U24" s="357" t="s">
        <v>22</v>
      </c>
      <c r="V24" s="357" t="s">
        <v>18</v>
      </c>
      <c r="W24" s="357" t="s">
        <v>18</v>
      </c>
      <c r="X24" s="357" t="s">
        <v>22</v>
      </c>
      <c r="Y24" s="357" t="s">
        <v>18</v>
      </c>
      <c r="Z24" s="357" t="s">
        <v>18</v>
      </c>
      <c r="AA24" s="357" t="s">
        <v>18</v>
      </c>
      <c r="AB24" s="357" t="s">
        <v>18</v>
      </c>
      <c r="AC24" s="358">
        <f t="shared" si="0"/>
        <v>0</v>
      </c>
      <c r="AD24" s="358">
        <f t="shared" si="1"/>
        <v>0</v>
      </c>
      <c r="AE24" s="342">
        <f t="shared" si="2"/>
        <v>8</v>
      </c>
    </row>
    <row r="25" spans="1:32" ht="15.75" customHeight="1">
      <c r="A25" s="341" t="s">
        <v>482</v>
      </c>
      <c r="B25" s="604" t="s">
        <v>483</v>
      </c>
      <c r="C25" s="605" t="s">
        <v>467</v>
      </c>
      <c r="D25" s="606">
        <v>0</v>
      </c>
      <c r="E25" s="600">
        <v>0</v>
      </c>
      <c r="F25" s="601">
        <v>0</v>
      </c>
      <c r="G25" s="602">
        <v>0.16666666666666699</v>
      </c>
      <c r="H25" s="357" t="s">
        <v>18</v>
      </c>
      <c r="I25" s="357" t="s">
        <v>18</v>
      </c>
      <c r="J25" s="357" t="s">
        <v>18</v>
      </c>
      <c r="K25" s="357" t="s">
        <v>18</v>
      </c>
      <c r="L25" s="357" t="s">
        <v>18</v>
      </c>
      <c r="M25" s="357" t="s">
        <v>22</v>
      </c>
      <c r="N25" s="357" t="s">
        <v>22</v>
      </c>
      <c r="O25" s="357" t="s">
        <v>22</v>
      </c>
      <c r="P25" s="357" t="s">
        <v>18</v>
      </c>
      <c r="Q25" s="357" t="s">
        <v>22</v>
      </c>
      <c r="R25" s="357" t="s">
        <v>18</v>
      </c>
      <c r="S25" s="357" t="s">
        <v>18</v>
      </c>
      <c r="T25" s="357" t="s">
        <v>18</v>
      </c>
      <c r="U25" s="357" t="s">
        <v>18</v>
      </c>
      <c r="V25" s="357" t="s">
        <v>18</v>
      </c>
      <c r="W25" s="357" t="s">
        <v>18</v>
      </c>
      <c r="X25" s="357" t="s">
        <v>18</v>
      </c>
      <c r="Y25" s="357" t="s">
        <v>18</v>
      </c>
      <c r="Z25" s="357" t="s">
        <v>18</v>
      </c>
      <c r="AA25" s="357" t="s">
        <v>18</v>
      </c>
      <c r="AB25" s="357" t="s">
        <v>18</v>
      </c>
      <c r="AC25" s="358">
        <f t="shared" si="0"/>
        <v>0</v>
      </c>
      <c r="AD25" s="358">
        <f t="shared" si="1"/>
        <v>0</v>
      </c>
      <c r="AE25" s="342">
        <f t="shared" si="2"/>
        <v>4</v>
      </c>
      <c r="AF25" s="364"/>
    </row>
    <row r="26" spans="1:32" ht="15.75" customHeight="1">
      <c r="A26" s="341" t="s">
        <v>484</v>
      </c>
      <c r="B26" s="604"/>
      <c r="C26" s="605"/>
      <c r="D26" s="606"/>
      <c r="E26" s="600"/>
      <c r="F26" s="601"/>
      <c r="G26" s="602"/>
      <c r="H26" s="357"/>
      <c r="I26" s="357"/>
      <c r="J26" s="357"/>
      <c r="K26" s="357"/>
      <c r="L26" s="357"/>
      <c r="M26" s="357"/>
      <c r="N26" s="357"/>
      <c r="O26" s="357"/>
      <c r="P26" s="357"/>
      <c r="Q26" s="357"/>
      <c r="R26" s="357"/>
      <c r="S26" s="357"/>
      <c r="T26" s="357"/>
      <c r="U26" s="357"/>
      <c r="V26" s="357"/>
      <c r="W26" s="357"/>
      <c r="X26" s="357"/>
      <c r="Y26" s="357"/>
      <c r="Z26" s="357"/>
      <c r="AA26" s="357"/>
      <c r="AB26" s="357"/>
      <c r="AC26" s="358">
        <f t="shared" si="0"/>
        <v>0</v>
      </c>
      <c r="AD26" s="358">
        <f t="shared" si="1"/>
        <v>0</v>
      </c>
      <c r="AE26" s="342">
        <f t="shared" si="2"/>
        <v>0</v>
      </c>
    </row>
    <row r="27" spans="1:32" ht="30.75" customHeight="1">
      <c r="A27" s="341" t="s">
        <v>485</v>
      </c>
      <c r="B27" s="365" t="s">
        <v>486</v>
      </c>
      <c r="C27" s="365" t="s">
        <v>487</v>
      </c>
      <c r="D27" s="358">
        <v>6.9444444444444397E-3</v>
      </c>
      <c r="E27" s="358">
        <v>6.9444444444444397E-3</v>
      </c>
      <c r="F27" s="360">
        <v>0</v>
      </c>
      <c r="G27" s="359">
        <v>6.9444444444444397E-3</v>
      </c>
      <c r="H27" s="357" t="s">
        <v>22</v>
      </c>
      <c r="I27" s="357" t="s">
        <v>22</v>
      </c>
      <c r="J27" s="357" t="s">
        <v>18</v>
      </c>
      <c r="K27" s="357" t="s">
        <v>18</v>
      </c>
      <c r="L27" s="357" t="s">
        <v>22</v>
      </c>
      <c r="M27" s="357" t="s">
        <v>18</v>
      </c>
      <c r="N27" s="357" t="s">
        <v>18</v>
      </c>
      <c r="O27" s="357" t="s">
        <v>18</v>
      </c>
      <c r="P27" s="357" t="s">
        <v>18</v>
      </c>
      <c r="Q27" s="357" t="s">
        <v>18</v>
      </c>
      <c r="R27" s="357" t="s">
        <v>18</v>
      </c>
      <c r="S27" s="357" t="s">
        <v>18</v>
      </c>
      <c r="T27" s="357" t="s">
        <v>18</v>
      </c>
      <c r="U27" s="357" t="s">
        <v>18</v>
      </c>
      <c r="V27" s="357" t="s">
        <v>22</v>
      </c>
      <c r="W27" s="357" t="s">
        <v>18</v>
      </c>
      <c r="X27" s="357" t="s">
        <v>18</v>
      </c>
      <c r="Y27" s="357" t="s">
        <v>18</v>
      </c>
      <c r="Z27" s="357" t="s">
        <v>18</v>
      </c>
      <c r="AA27" s="357" t="s">
        <v>18</v>
      </c>
      <c r="AB27" s="357" t="s">
        <v>18</v>
      </c>
      <c r="AC27" s="358">
        <f t="shared" si="0"/>
        <v>1.3888888888888879E-2</v>
      </c>
      <c r="AD27" s="358">
        <f t="shared" si="1"/>
        <v>6.9444444444444397E-3</v>
      </c>
      <c r="AE27" s="342">
        <f t="shared" si="2"/>
        <v>4</v>
      </c>
    </row>
    <row r="28" spans="1:32" ht="30.75" customHeight="1">
      <c r="A28" s="603" t="s">
        <v>488</v>
      </c>
      <c r="B28" s="365" t="s">
        <v>489</v>
      </c>
      <c r="C28" s="365" t="s">
        <v>487</v>
      </c>
      <c r="D28" s="599">
        <v>1.0416666666666701E-2</v>
      </c>
      <c r="E28" s="600">
        <v>1.0416666666666701E-2</v>
      </c>
      <c r="F28" s="601">
        <v>6.9444444444444397E-3</v>
      </c>
      <c r="G28" s="602">
        <v>2.0833333333333301E-2</v>
      </c>
      <c r="H28" s="357" t="s">
        <v>22</v>
      </c>
      <c r="I28" s="357" t="str">
        <f>$H$27</f>
        <v>SIM</v>
      </c>
      <c r="J28" s="357" t="s">
        <v>18</v>
      </c>
      <c r="K28" s="357" t="s">
        <v>18</v>
      </c>
      <c r="L28" s="357" t="s">
        <v>22</v>
      </c>
      <c r="M28" s="357" t="s">
        <v>18</v>
      </c>
      <c r="N28" s="357" t="s">
        <v>18</v>
      </c>
      <c r="O28" s="357" t="s">
        <v>18</v>
      </c>
      <c r="P28" s="357" t="s">
        <v>18</v>
      </c>
      <c r="Q28" s="357" t="s">
        <v>18</v>
      </c>
      <c r="R28" s="357" t="s">
        <v>18</v>
      </c>
      <c r="S28" s="357" t="s">
        <v>18</v>
      </c>
      <c r="T28" s="357" t="s">
        <v>18</v>
      </c>
      <c r="U28" s="357" t="s">
        <v>18</v>
      </c>
      <c r="V28" s="357" t="s">
        <v>22</v>
      </c>
      <c r="W28" s="357" t="s">
        <v>18</v>
      </c>
      <c r="X28" s="357" t="s">
        <v>18</v>
      </c>
      <c r="Y28" s="357" t="s">
        <v>18</v>
      </c>
      <c r="Z28" s="357" t="s">
        <v>18</v>
      </c>
      <c r="AA28" s="357" t="s">
        <v>18</v>
      </c>
      <c r="AB28" s="357" t="s">
        <v>18</v>
      </c>
      <c r="AC28" s="358">
        <f t="shared" si="0"/>
        <v>2.7777777777777842E-2</v>
      </c>
      <c r="AD28" s="358">
        <f t="shared" si="1"/>
        <v>2.0833333333333301E-2</v>
      </c>
      <c r="AE28" s="342">
        <f t="shared" si="2"/>
        <v>4</v>
      </c>
    </row>
    <row r="29" spans="1:32" ht="30.75" customHeight="1">
      <c r="A29" s="603"/>
      <c r="B29" s="366" t="s">
        <v>490</v>
      </c>
      <c r="C29" s="365" t="s">
        <v>487</v>
      </c>
      <c r="D29" s="599"/>
      <c r="E29" s="600"/>
      <c r="F29" s="601"/>
      <c r="G29" s="602"/>
      <c r="H29" s="357" t="s">
        <v>22</v>
      </c>
      <c r="I29" s="357" t="str">
        <f>$H$27</f>
        <v>SIM</v>
      </c>
      <c r="J29" s="357" t="s">
        <v>18</v>
      </c>
      <c r="K29" s="357" t="s">
        <v>18</v>
      </c>
      <c r="L29" s="357" t="s">
        <v>22</v>
      </c>
      <c r="M29" s="357" t="s">
        <v>18</v>
      </c>
      <c r="N29" s="357" t="s">
        <v>18</v>
      </c>
      <c r="O29" s="357" t="s">
        <v>18</v>
      </c>
      <c r="P29" s="357" t="s">
        <v>18</v>
      </c>
      <c r="Q29" s="357" t="s">
        <v>18</v>
      </c>
      <c r="R29" s="357" t="s">
        <v>18</v>
      </c>
      <c r="S29" s="357" t="s">
        <v>18</v>
      </c>
      <c r="T29" s="357" t="s">
        <v>18</v>
      </c>
      <c r="U29" s="357" t="s">
        <v>18</v>
      </c>
      <c r="V29" s="357" t="s">
        <v>22</v>
      </c>
      <c r="W29" s="357" t="s">
        <v>18</v>
      </c>
      <c r="X29" s="357" t="s">
        <v>18</v>
      </c>
      <c r="Y29" s="357" t="s">
        <v>18</v>
      </c>
      <c r="Z29" s="357" t="s">
        <v>18</v>
      </c>
      <c r="AA29" s="357" t="s">
        <v>18</v>
      </c>
      <c r="AB29" s="357" t="s">
        <v>18</v>
      </c>
      <c r="AC29" s="358">
        <f t="shared" si="0"/>
        <v>0</v>
      </c>
      <c r="AD29" s="358">
        <f t="shared" si="1"/>
        <v>0</v>
      </c>
      <c r="AE29" s="342">
        <f t="shared" si="2"/>
        <v>4</v>
      </c>
    </row>
    <row r="30" spans="1:32" ht="30.75" customHeight="1">
      <c r="A30" s="603"/>
      <c r="B30" s="366" t="s">
        <v>491</v>
      </c>
      <c r="C30" s="365" t="s">
        <v>487</v>
      </c>
      <c r="D30" s="599"/>
      <c r="E30" s="600"/>
      <c r="F30" s="601"/>
      <c r="G30" s="602"/>
      <c r="H30" s="357" t="s">
        <v>22</v>
      </c>
      <c r="I30" s="357" t="str">
        <f>$H$27</f>
        <v>SIM</v>
      </c>
      <c r="J30" s="357" t="s">
        <v>18</v>
      </c>
      <c r="K30" s="357" t="s">
        <v>18</v>
      </c>
      <c r="L30" s="357" t="s">
        <v>22</v>
      </c>
      <c r="M30" s="357" t="s">
        <v>18</v>
      </c>
      <c r="N30" s="357" t="s">
        <v>18</v>
      </c>
      <c r="O30" s="357" t="s">
        <v>18</v>
      </c>
      <c r="P30" s="357" t="s">
        <v>18</v>
      </c>
      <c r="Q30" s="357" t="s">
        <v>18</v>
      </c>
      <c r="R30" s="357" t="s">
        <v>18</v>
      </c>
      <c r="S30" s="357" t="s">
        <v>18</v>
      </c>
      <c r="T30" s="357" t="s">
        <v>18</v>
      </c>
      <c r="U30" s="357" t="s">
        <v>18</v>
      </c>
      <c r="V30" s="357" t="s">
        <v>22</v>
      </c>
      <c r="W30" s="357" t="s">
        <v>18</v>
      </c>
      <c r="X30" s="357" t="s">
        <v>18</v>
      </c>
      <c r="Y30" s="357" t="s">
        <v>18</v>
      </c>
      <c r="Z30" s="357" t="s">
        <v>18</v>
      </c>
      <c r="AA30" s="357" t="s">
        <v>18</v>
      </c>
      <c r="AB30" s="357" t="s">
        <v>18</v>
      </c>
      <c r="AC30" s="358">
        <f t="shared" si="0"/>
        <v>0</v>
      </c>
      <c r="AD30" s="358">
        <f t="shared" si="1"/>
        <v>0</v>
      </c>
      <c r="AE30" s="342">
        <f t="shared" si="2"/>
        <v>4</v>
      </c>
    </row>
    <row r="31" spans="1:32" ht="30.75" customHeight="1">
      <c r="B31" s="367" t="s">
        <v>492</v>
      </c>
      <c r="C31" s="365" t="s">
        <v>487</v>
      </c>
      <c r="D31" s="358"/>
      <c r="E31" s="358"/>
      <c r="F31" s="360"/>
      <c r="G31" s="359"/>
      <c r="H31" s="357" t="s">
        <v>18</v>
      </c>
      <c r="I31" s="357" t="s">
        <v>18</v>
      </c>
      <c r="J31" s="357" t="s">
        <v>18</v>
      </c>
      <c r="K31" s="357" t="s">
        <v>18</v>
      </c>
      <c r="L31" s="357" t="s">
        <v>18</v>
      </c>
      <c r="M31" s="357" t="s">
        <v>18</v>
      </c>
      <c r="N31" s="357" t="s">
        <v>18</v>
      </c>
      <c r="O31" s="357" t="s">
        <v>18</v>
      </c>
      <c r="P31" s="357" t="s">
        <v>18</v>
      </c>
      <c r="Q31" s="357" t="s">
        <v>18</v>
      </c>
      <c r="R31" s="357" t="s">
        <v>18</v>
      </c>
      <c r="S31" s="357" t="s">
        <v>18</v>
      </c>
      <c r="T31" s="357" t="s">
        <v>18</v>
      </c>
      <c r="U31" s="357" t="s">
        <v>18</v>
      </c>
      <c r="V31" s="357" t="s">
        <v>18</v>
      </c>
      <c r="W31" s="357" t="s">
        <v>18</v>
      </c>
      <c r="X31" s="357" t="s">
        <v>18</v>
      </c>
      <c r="Y31" s="357" t="s">
        <v>18</v>
      </c>
      <c r="Z31" s="357" t="s">
        <v>18</v>
      </c>
      <c r="AA31" s="357" t="s">
        <v>18</v>
      </c>
      <c r="AB31" s="357" t="s">
        <v>18</v>
      </c>
      <c r="AC31" s="358">
        <f t="shared" si="0"/>
        <v>0</v>
      </c>
      <c r="AD31" s="358">
        <f t="shared" si="1"/>
        <v>0</v>
      </c>
      <c r="AE31" s="342">
        <f t="shared" si="2"/>
        <v>0</v>
      </c>
    </row>
    <row r="32" spans="1:32" ht="30.75" customHeight="1">
      <c r="A32" s="341" t="s">
        <v>493</v>
      </c>
      <c r="B32" s="365" t="s">
        <v>494</v>
      </c>
      <c r="C32" s="365" t="s">
        <v>487</v>
      </c>
      <c r="D32" s="358">
        <v>6.9444444444444397E-3</v>
      </c>
      <c r="E32" s="358">
        <v>6.9444444444444397E-3</v>
      </c>
      <c r="F32" s="360">
        <v>0</v>
      </c>
      <c r="G32" s="359">
        <v>6.9444444444444397E-3</v>
      </c>
      <c r="H32" s="357" t="s">
        <v>22</v>
      </c>
      <c r="I32" s="357" t="s">
        <v>22</v>
      </c>
      <c r="J32" s="357" t="s">
        <v>22</v>
      </c>
      <c r="K32" s="357" t="s">
        <v>22</v>
      </c>
      <c r="L32" s="357" t="s">
        <v>22</v>
      </c>
      <c r="M32" s="357" t="s">
        <v>22</v>
      </c>
      <c r="N32" s="357" t="s">
        <v>18</v>
      </c>
      <c r="O32" s="357" t="s">
        <v>18</v>
      </c>
      <c r="P32" s="357" t="s">
        <v>18</v>
      </c>
      <c r="Q32" s="357" t="s">
        <v>18</v>
      </c>
      <c r="R32" s="357" t="s">
        <v>18</v>
      </c>
      <c r="S32" s="357" t="s">
        <v>18</v>
      </c>
      <c r="T32" s="357" t="s">
        <v>18</v>
      </c>
      <c r="U32" s="357" t="s">
        <v>18</v>
      </c>
      <c r="V32" s="357" t="s">
        <v>22</v>
      </c>
      <c r="W32" s="357" t="s">
        <v>18</v>
      </c>
      <c r="X32" s="357" t="s">
        <v>18</v>
      </c>
      <c r="Y32" s="357" t="s">
        <v>18</v>
      </c>
      <c r="Z32" s="357" t="s">
        <v>18</v>
      </c>
      <c r="AA32" s="357" t="s">
        <v>18</v>
      </c>
      <c r="AB32" s="357" t="s">
        <v>18</v>
      </c>
      <c r="AC32" s="358">
        <f t="shared" si="0"/>
        <v>1.3888888888888879E-2</v>
      </c>
      <c r="AD32" s="358">
        <f t="shared" si="1"/>
        <v>6.9444444444444397E-3</v>
      </c>
      <c r="AE32" s="342">
        <f t="shared" si="2"/>
        <v>7</v>
      </c>
    </row>
    <row r="33" spans="1:31" ht="30.75" customHeight="1">
      <c r="A33" s="341" t="s">
        <v>495</v>
      </c>
      <c r="B33" s="365" t="s">
        <v>496</v>
      </c>
      <c r="C33" s="365" t="s">
        <v>487</v>
      </c>
      <c r="D33" s="358">
        <v>6.9444444444444397E-3</v>
      </c>
      <c r="E33" s="358">
        <v>6.9444444444444397E-3</v>
      </c>
      <c r="F33" s="360">
        <v>0</v>
      </c>
      <c r="G33" s="359">
        <v>6.9444444444444397E-3</v>
      </c>
      <c r="H33" s="357" t="s">
        <v>18</v>
      </c>
      <c r="I33" s="357" t="s">
        <v>22</v>
      </c>
      <c r="J33" s="357" t="s">
        <v>22</v>
      </c>
      <c r="K33" s="357" t="s">
        <v>22</v>
      </c>
      <c r="L33" s="357" t="s">
        <v>22</v>
      </c>
      <c r="M33" s="357" t="s">
        <v>22</v>
      </c>
      <c r="N33" s="357" t="s">
        <v>18</v>
      </c>
      <c r="O33" s="357" t="s">
        <v>18</v>
      </c>
      <c r="P33" s="357" t="s">
        <v>18</v>
      </c>
      <c r="Q33" s="357" t="s">
        <v>22</v>
      </c>
      <c r="R33" s="357" t="s">
        <v>18</v>
      </c>
      <c r="S33" s="357" t="s">
        <v>18</v>
      </c>
      <c r="T33" s="357" t="s">
        <v>18</v>
      </c>
      <c r="U33" s="357" t="s">
        <v>18</v>
      </c>
      <c r="V33" s="357" t="s">
        <v>22</v>
      </c>
      <c r="W33" s="357" t="s">
        <v>18</v>
      </c>
      <c r="X33" s="357" t="s">
        <v>18</v>
      </c>
      <c r="Y33" s="357" t="s">
        <v>18</v>
      </c>
      <c r="Z33" s="357" t="s">
        <v>18</v>
      </c>
      <c r="AA33" s="357" t="s">
        <v>18</v>
      </c>
      <c r="AB33" s="357" t="s">
        <v>18</v>
      </c>
      <c r="AC33" s="358">
        <f t="shared" si="0"/>
        <v>1.3888888888888879E-2</v>
      </c>
      <c r="AD33" s="358">
        <f t="shared" si="1"/>
        <v>6.9444444444444397E-3</v>
      </c>
      <c r="AE33" s="342">
        <f t="shared" si="2"/>
        <v>7</v>
      </c>
    </row>
    <row r="34" spans="1:31" ht="30.75" customHeight="1">
      <c r="A34" s="341" t="s">
        <v>497</v>
      </c>
      <c r="B34" s="365" t="s">
        <v>498</v>
      </c>
      <c r="C34" s="365" t="s">
        <v>487</v>
      </c>
      <c r="D34" s="358">
        <v>6.9444444444444397E-3</v>
      </c>
      <c r="E34" s="358">
        <v>6.9444444444444397E-3</v>
      </c>
      <c r="F34" s="360">
        <v>0</v>
      </c>
      <c r="G34" s="359">
        <v>6.9444444444444397E-3</v>
      </c>
      <c r="H34" s="357" t="s">
        <v>22</v>
      </c>
      <c r="I34" s="357" t="s">
        <v>22</v>
      </c>
      <c r="J34" s="357" t="s">
        <v>22</v>
      </c>
      <c r="K34" s="357" t="s">
        <v>22</v>
      </c>
      <c r="L34" s="357" t="s">
        <v>22</v>
      </c>
      <c r="M34" s="357" t="s">
        <v>22</v>
      </c>
      <c r="N34" s="357" t="s">
        <v>18</v>
      </c>
      <c r="O34" s="357" t="s">
        <v>18</v>
      </c>
      <c r="P34" s="357" t="s">
        <v>18</v>
      </c>
      <c r="Q34" s="357" t="s">
        <v>18</v>
      </c>
      <c r="R34" s="357" t="s">
        <v>18</v>
      </c>
      <c r="S34" s="357" t="s">
        <v>18</v>
      </c>
      <c r="T34" s="357" t="s">
        <v>18</v>
      </c>
      <c r="U34" s="357" t="s">
        <v>18</v>
      </c>
      <c r="V34" s="357" t="s">
        <v>22</v>
      </c>
      <c r="W34" s="357" t="s">
        <v>18</v>
      </c>
      <c r="X34" s="357" t="s">
        <v>18</v>
      </c>
      <c r="Y34" s="357" t="s">
        <v>18</v>
      </c>
      <c r="Z34" s="357" t="s">
        <v>18</v>
      </c>
      <c r="AA34" s="357" t="s">
        <v>18</v>
      </c>
      <c r="AB34" s="357" t="s">
        <v>18</v>
      </c>
      <c r="AC34" s="358">
        <f t="shared" si="0"/>
        <v>1.3888888888888879E-2</v>
      </c>
      <c r="AD34" s="358">
        <f t="shared" si="1"/>
        <v>6.9444444444444397E-3</v>
      </c>
      <c r="AE34" s="342">
        <f t="shared" si="2"/>
        <v>7</v>
      </c>
    </row>
    <row r="35" spans="1:31" ht="30.75" customHeight="1">
      <c r="A35" s="341" t="s">
        <v>499</v>
      </c>
      <c r="B35" s="365" t="s">
        <v>500</v>
      </c>
      <c r="C35" s="365" t="s">
        <v>487</v>
      </c>
      <c r="D35" s="358">
        <v>6.9444444444444397E-3</v>
      </c>
      <c r="E35" s="358">
        <v>6.9444444444444397E-3</v>
      </c>
      <c r="F35" s="360">
        <v>6.9444444444444397E-3</v>
      </c>
      <c r="G35" s="359">
        <v>6.9444444444444397E-3</v>
      </c>
      <c r="H35" s="357" t="s">
        <v>22</v>
      </c>
      <c r="I35" s="357" t="s">
        <v>22</v>
      </c>
      <c r="J35" s="357" t="s">
        <v>22</v>
      </c>
      <c r="K35" s="357" t="s">
        <v>22</v>
      </c>
      <c r="L35" s="357" t="s">
        <v>22</v>
      </c>
      <c r="M35" s="357" t="s">
        <v>22</v>
      </c>
      <c r="N35" s="357" t="s">
        <v>18</v>
      </c>
      <c r="O35" s="357" t="s">
        <v>18</v>
      </c>
      <c r="P35" s="357" t="s">
        <v>18</v>
      </c>
      <c r="Q35" s="357" t="s">
        <v>18</v>
      </c>
      <c r="R35" s="357" t="s">
        <v>18</v>
      </c>
      <c r="S35" s="357" t="s">
        <v>18</v>
      </c>
      <c r="T35" s="357" t="s">
        <v>18</v>
      </c>
      <c r="U35" s="357" t="s">
        <v>18</v>
      </c>
      <c r="V35" s="357" t="s">
        <v>22</v>
      </c>
      <c r="W35" s="357" t="s">
        <v>18</v>
      </c>
      <c r="X35" s="357" t="s">
        <v>18</v>
      </c>
      <c r="Y35" s="357" t="s">
        <v>18</v>
      </c>
      <c r="Z35" s="357" t="s">
        <v>18</v>
      </c>
      <c r="AA35" s="357" t="s">
        <v>18</v>
      </c>
      <c r="AB35" s="357" t="s">
        <v>18</v>
      </c>
      <c r="AC35" s="358">
        <f t="shared" ref="AC35:AC66" si="3">IF(COUNTIFS($H$1:$AB$1,"x",H35:AB35,"SIM")&gt;0,(D35+E35+F35),0)</f>
        <v>2.0833333333333318E-2</v>
      </c>
      <c r="AD35" s="358">
        <f t="shared" ref="AD35:AD66" si="4">IF(COUNTIFS($H$1:$AB$1,"x",H35:AB35,"SIM")&gt;0,G35,0)</f>
        <v>6.9444444444444397E-3</v>
      </c>
      <c r="AE35" s="342">
        <f t="shared" ref="AE35:AE66" si="5">COUNTIFS(H35:AB35,"SIM")</f>
        <v>7</v>
      </c>
    </row>
    <row r="36" spans="1:31" ht="30.75" customHeight="1">
      <c r="A36" s="341" t="s">
        <v>501</v>
      </c>
      <c r="B36" s="365" t="s">
        <v>502</v>
      </c>
      <c r="C36" s="365" t="s">
        <v>487</v>
      </c>
      <c r="D36" s="358">
        <v>6.9444444444444397E-3</v>
      </c>
      <c r="E36" s="358">
        <v>6.9444444444444397E-3</v>
      </c>
      <c r="F36" s="360">
        <v>6.9444444444444397E-3</v>
      </c>
      <c r="G36" s="359">
        <v>3.4722222222222199E-3</v>
      </c>
      <c r="H36" s="357" t="s">
        <v>22</v>
      </c>
      <c r="I36" s="357" t="s">
        <v>22</v>
      </c>
      <c r="J36" s="357" t="s">
        <v>22</v>
      </c>
      <c r="K36" s="357" t="s">
        <v>22</v>
      </c>
      <c r="L36" s="357" t="s">
        <v>22</v>
      </c>
      <c r="M36" s="357" t="s">
        <v>22</v>
      </c>
      <c r="N36" s="357" t="s">
        <v>18</v>
      </c>
      <c r="O36" s="357" t="s">
        <v>18</v>
      </c>
      <c r="P36" s="357" t="s">
        <v>18</v>
      </c>
      <c r="Q36" s="357" t="s">
        <v>18</v>
      </c>
      <c r="R36" s="357" t="s">
        <v>18</v>
      </c>
      <c r="S36" s="357" t="s">
        <v>18</v>
      </c>
      <c r="T36" s="357" t="s">
        <v>18</v>
      </c>
      <c r="U36" s="357" t="s">
        <v>18</v>
      </c>
      <c r="V36" s="357" t="s">
        <v>22</v>
      </c>
      <c r="W36" s="357" t="s">
        <v>18</v>
      </c>
      <c r="X36" s="357" t="s">
        <v>18</v>
      </c>
      <c r="Y36" s="357" t="s">
        <v>18</v>
      </c>
      <c r="Z36" s="357" t="s">
        <v>18</v>
      </c>
      <c r="AA36" s="357" t="s">
        <v>18</v>
      </c>
      <c r="AB36" s="357" t="s">
        <v>18</v>
      </c>
      <c r="AC36" s="358">
        <f t="shared" si="3"/>
        <v>2.0833333333333318E-2</v>
      </c>
      <c r="AD36" s="358">
        <f t="shared" si="4"/>
        <v>3.4722222222222199E-3</v>
      </c>
      <c r="AE36" s="342">
        <f t="shared" si="5"/>
        <v>7</v>
      </c>
    </row>
    <row r="37" spans="1:31" ht="30.75" customHeight="1">
      <c r="A37" s="341" t="s">
        <v>503</v>
      </c>
      <c r="B37" s="365" t="s">
        <v>504</v>
      </c>
      <c r="C37" s="365" t="s">
        <v>487</v>
      </c>
      <c r="D37" s="595">
        <v>1.38888888888889E-2</v>
      </c>
      <c r="E37" s="595">
        <v>1.38888888888889E-2</v>
      </c>
      <c r="F37" s="596">
        <v>0</v>
      </c>
      <c r="G37" s="598">
        <v>2.0833333333333301E-2</v>
      </c>
      <c r="H37" s="357" t="s">
        <v>22</v>
      </c>
      <c r="I37" s="357" t="s">
        <v>22</v>
      </c>
      <c r="J37" s="357" t="s">
        <v>22</v>
      </c>
      <c r="K37" s="357" t="s">
        <v>22</v>
      </c>
      <c r="L37" s="357" t="s">
        <v>18</v>
      </c>
      <c r="M37" s="357" t="s">
        <v>22</v>
      </c>
      <c r="N37" s="357" t="s">
        <v>18</v>
      </c>
      <c r="O37" s="357" t="s">
        <v>18</v>
      </c>
      <c r="P37" s="357" t="s">
        <v>18</v>
      </c>
      <c r="Q37" s="357" t="s">
        <v>18</v>
      </c>
      <c r="R37" s="357" t="s">
        <v>18</v>
      </c>
      <c r="S37" s="357" t="s">
        <v>18</v>
      </c>
      <c r="T37" s="357" t="s">
        <v>18</v>
      </c>
      <c r="U37" s="357" t="s">
        <v>18</v>
      </c>
      <c r="V37" s="357" t="s">
        <v>18</v>
      </c>
      <c r="W37" s="357" t="s">
        <v>18</v>
      </c>
      <c r="X37" s="357" t="s">
        <v>18</v>
      </c>
      <c r="Y37" s="357" t="s">
        <v>18</v>
      </c>
      <c r="Z37" s="357" t="s">
        <v>18</v>
      </c>
      <c r="AA37" s="357" t="s">
        <v>18</v>
      </c>
      <c r="AB37" s="357" t="s">
        <v>18</v>
      </c>
      <c r="AC37" s="358">
        <f t="shared" si="3"/>
        <v>2.7777777777777801E-2</v>
      </c>
      <c r="AD37" s="358">
        <f t="shared" si="4"/>
        <v>2.0833333333333301E-2</v>
      </c>
      <c r="AE37" s="342">
        <f t="shared" si="5"/>
        <v>5</v>
      </c>
    </row>
    <row r="38" spans="1:31" ht="30.75" customHeight="1">
      <c r="A38" s="341" t="s">
        <v>505</v>
      </c>
      <c r="B38" s="365" t="s">
        <v>506</v>
      </c>
      <c r="C38" s="365" t="s">
        <v>487</v>
      </c>
      <c r="D38" s="595"/>
      <c r="E38" s="595"/>
      <c r="F38" s="596"/>
      <c r="G38" s="598"/>
      <c r="H38" s="357" t="s">
        <v>22</v>
      </c>
      <c r="I38" s="357" t="s">
        <v>22</v>
      </c>
      <c r="J38" s="357" t="s">
        <v>22</v>
      </c>
      <c r="K38" s="357" t="s">
        <v>22</v>
      </c>
      <c r="L38" s="357" t="s">
        <v>18</v>
      </c>
      <c r="M38" s="357" t="s">
        <v>22</v>
      </c>
      <c r="N38" s="357" t="s">
        <v>18</v>
      </c>
      <c r="O38" s="357" t="s">
        <v>18</v>
      </c>
      <c r="P38" s="357" t="s">
        <v>18</v>
      </c>
      <c r="Q38" s="357" t="s">
        <v>18</v>
      </c>
      <c r="R38" s="357" t="s">
        <v>18</v>
      </c>
      <c r="S38" s="357" t="s">
        <v>18</v>
      </c>
      <c r="T38" s="357" t="s">
        <v>18</v>
      </c>
      <c r="U38" s="357" t="s">
        <v>18</v>
      </c>
      <c r="V38" s="357" t="s">
        <v>18</v>
      </c>
      <c r="W38" s="357" t="s">
        <v>18</v>
      </c>
      <c r="X38" s="357" t="s">
        <v>18</v>
      </c>
      <c r="Y38" s="357" t="s">
        <v>18</v>
      </c>
      <c r="Z38" s="357" t="s">
        <v>18</v>
      </c>
      <c r="AA38" s="357" t="s">
        <v>18</v>
      </c>
      <c r="AB38" s="357" t="s">
        <v>18</v>
      </c>
      <c r="AC38" s="358">
        <f t="shared" si="3"/>
        <v>0</v>
      </c>
      <c r="AD38" s="358">
        <f t="shared" si="4"/>
        <v>0</v>
      </c>
      <c r="AE38" s="342">
        <f t="shared" si="5"/>
        <v>5</v>
      </c>
    </row>
    <row r="39" spans="1:31" ht="30.75" customHeight="1">
      <c r="A39" s="341" t="s">
        <v>507</v>
      </c>
      <c r="B39" s="365" t="s">
        <v>508</v>
      </c>
      <c r="C39" s="365" t="s">
        <v>487</v>
      </c>
      <c r="D39" s="595"/>
      <c r="E39" s="595"/>
      <c r="F39" s="596"/>
      <c r="G39" s="598"/>
      <c r="H39" s="357" t="s">
        <v>22</v>
      </c>
      <c r="I39" s="357" t="s">
        <v>22</v>
      </c>
      <c r="J39" s="357" t="s">
        <v>22</v>
      </c>
      <c r="K39" s="357" t="s">
        <v>22</v>
      </c>
      <c r="L39" s="357" t="s">
        <v>18</v>
      </c>
      <c r="M39" s="357" t="s">
        <v>22</v>
      </c>
      <c r="N39" s="357" t="s">
        <v>18</v>
      </c>
      <c r="O39" s="357" t="s">
        <v>18</v>
      </c>
      <c r="P39" s="357" t="s">
        <v>18</v>
      </c>
      <c r="Q39" s="357" t="s">
        <v>18</v>
      </c>
      <c r="R39" s="357" t="s">
        <v>18</v>
      </c>
      <c r="S39" s="357" t="s">
        <v>18</v>
      </c>
      <c r="T39" s="357" t="s">
        <v>18</v>
      </c>
      <c r="U39" s="357" t="s">
        <v>18</v>
      </c>
      <c r="V39" s="357" t="s">
        <v>18</v>
      </c>
      <c r="W39" s="357" t="s">
        <v>18</v>
      </c>
      <c r="X39" s="357" t="s">
        <v>18</v>
      </c>
      <c r="Y39" s="357" t="s">
        <v>18</v>
      </c>
      <c r="Z39" s="357" t="s">
        <v>18</v>
      </c>
      <c r="AA39" s="357" t="s">
        <v>18</v>
      </c>
      <c r="AB39" s="357" t="s">
        <v>18</v>
      </c>
      <c r="AC39" s="358">
        <f t="shared" si="3"/>
        <v>0</v>
      </c>
      <c r="AD39" s="358">
        <f t="shared" si="4"/>
        <v>0</v>
      </c>
      <c r="AE39" s="342">
        <f t="shared" si="5"/>
        <v>5</v>
      </c>
    </row>
    <row r="40" spans="1:31" ht="30.75" customHeight="1">
      <c r="A40" s="341" t="s">
        <v>509</v>
      </c>
      <c r="B40" s="365" t="s">
        <v>510</v>
      </c>
      <c r="C40" s="365" t="s">
        <v>487</v>
      </c>
      <c r="D40" s="595"/>
      <c r="E40" s="595"/>
      <c r="F40" s="596"/>
      <c r="G40" s="598"/>
      <c r="H40" s="357" t="s">
        <v>18</v>
      </c>
      <c r="I40" s="357" t="s">
        <v>18</v>
      </c>
      <c r="J40" s="357" t="s">
        <v>18</v>
      </c>
      <c r="K40" s="357" t="s">
        <v>18</v>
      </c>
      <c r="L40" s="357" t="s">
        <v>18</v>
      </c>
      <c r="M40" s="357" t="s">
        <v>18</v>
      </c>
      <c r="N40" s="357" t="s">
        <v>18</v>
      </c>
      <c r="O40" s="357" t="s">
        <v>18</v>
      </c>
      <c r="P40" s="357" t="s">
        <v>18</v>
      </c>
      <c r="Q40" s="357" t="s">
        <v>18</v>
      </c>
      <c r="R40" s="357" t="s">
        <v>18</v>
      </c>
      <c r="S40" s="357" t="s">
        <v>18</v>
      </c>
      <c r="T40" s="357" t="s">
        <v>18</v>
      </c>
      <c r="U40" s="357" t="s">
        <v>18</v>
      </c>
      <c r="V40" s="357" t="s">
        <v>18</v>
      </c>
      <c r="W40" s="357" t="s">
        <v>18</v>
      </c>
      <c r="X40" s="357" t="s">
        <v>18</v>
      </c>
      <c r="Y40" s="357" t="s">
        <v>18</v>
      </c>
      <c r="Z40" s="357" t="s">
        <v>18</v>
      </c>
      <c r="AA40" s="357" t="s">
        <v>18</v>
      </c>
      <c r="AB40" s="357" t="s">
        <v>18</v>
      </c>
      <c r="AC40" s="358">
        <f t="shared" si="3"/>
        <v>0</v>
      </c>
      <c r="AD40" s="358">
        <f t="shared" si="4"/>
        <v>0</v>
      </c>
      <c r="AE40" s="342">
        <f t="shared" si="5"/>
        <v>0</v>
      </c>
    </row>
    <row r="41" spans="1:31" ht="30.75" customHeight="1">
      <c r="B41" s="367" t="s">
        <v>511</v>
      </c>
      <c r="C41" s="365" t="s">
        <v>487</v>
      </c>
      <c r="D41" s="358"/>
      <c r="E41" s="358"/>
      <c r="F41" s="360"/>
      <c r="G41" s="359"/>
      <c r="H41" s="357" t="s">
        <v>18</v>
      </c>
      <c r="I41" s="357" t="s">
        <v>18</v>
      </c>
      <c r="J41" s="357" t="s">
        <v>18</v>
      </c>
      <c r="K41" s="357" t="s">
        <v>18</v>
      </c>
      <c r="L41" s="357" t="s">
        <v>18</v>
      </c>
      <c r="M41" s="357" t="s">
        <v>18</v>
      </c>
      <c r="N41" s="357" t="s">
        <v>18</v>
      </c>
      <c r="O41" s="357" t="s">
        <v>18</v>
      </c>
      <c r="P41" s="357" t="s">
        <v>18</v>
      </c>
      <c r="Q41" s="357" t="s">
        <v>18</v>
      </c>
      <c r="R41" s="357" t="s">
        <v>18</v>
      </c>
      <c r="S41" s="357" t="s">
        <v>18</v>
      </c>
      <c r="T41" s="357" t="s">
        <v>18</v>
      </c>
      <c r="U41" s="357" t="s">
        <v>18</v>
      </c>
      <c r="V41" s="357" t="s">
        <v>18</v>
      </c>
      <c r="W41" s="357" t="s">
        <v>18</v>
      </c>
      <c r="X41" s="357" t="s">
        <v>18</v>
      </c>
      <c r="Y41" s="357" t="s">
        <v>18</v>
      </c>
      <c r="Z41" s="357" t="s">
        <v>18</v>
      </c>
      <c r="AA41" s="357" t="s">
        <v>18</v>
      </c>
      <c r="AB41" s="357" t="s">
        <v>18</v>
      </c>
      <c r="AC41" s="358">
        <f t="shared" si="3"/>
        <v>0</v>
      </c>
      <c r="AD41" s="358">
        <f t="shared" si="4"/>
        <v>0</v>
      </c>
      <c r="AE41" s="342">
        <f t="shared" si="5"/>
        <v>0</v>
      </c>
    </row>
    <row r="42" spans="1:31" ht="30.75" customHeight="1">
      <c r="A42" s="341" t="s">
        <v>512</v>
      </c>
      <c r="B42" s="365" t="s">
        <v>513</v>
      </c>
      <c r="C42" s="365" t="s">
        <v>487</v>
      </c>
      <c r="D42" s="358">
        <v>6.9444444444444397E-3</v>
      </c>
      <c r="E42" s="358">
        <v>1.0416666666666701E-2</v>
      </c>
      <c r="F42" s="360">
        <v>6.9444444444444397E-3</v>
      </c>
      <c r="G42" s="359">
        <v>6.9444444444444397E-3</v>
      </c>
      <c r="H42" s="357" t="s">
        <v>22</v>
      </c>
      <c r="I42" s="357" t="s">
        <v>22</v>
      </c>
      <c r="J42" s="357" t="s">
        <v>18</v>
      </c>
      <c r="K42" s="357" t="s">
        <v>18</v>
      </c>
      <c r="L42" s="357" t="s">
        <v>18</v>
      </c>
      <c r="M42" s="357" t="s">
        <v>18</v>
      </c>
      <c r="N42" s="357" t="s">
        <v>18</v>
      </c>
      <c r="O42" s="357" t="s">
        <v>18</v>
      </c>
      <c r="P42" s="357" t="s">
        <v>18</v>
      </c>
      <c r="Q42" s="357" t="s">
        <v>18</v>
      </c>
      <c r="R42" s="357" t="s">
        <v>18</v>
      </c>
      <c r="S42" s="357" t="s">
        <v>18</v>
      </c>
      <c r="T42" s="357" t="s">
        <v>18</v>
      </c>
      <c r="U42" s="357" t="s">
        <v>18</v>
      </c>
      <c r="V42" s="357" t="s">
        <v>18</v>
      </c>
      <c r="W42" s="357" t="s">
        <v>18</v>
      </c>
      <c r="X42" s="357" t="s">
        <v>18</v>
      </c>
      <c r="Y42" s="357" t="s">
        <v>18</v>
      </c>
      <c r="Z42" s="357" t="s">
        <v>18</v>
      </c>
      <c r="AA42" s="357" t="s">
        <v>18</v>
      </c>
      <c r="AB42" s="357" t="s">
        <v>18</v>
      </c>
      <c r="AC42" s="358">
        <f t="shared" si="3"/>
        <v>2.430555555555558E-2</v>
      </c>
      <c r="AD42" s="358">
        <f t="shared" si="4"/>
        <v>6.9444444444444397E-3</v>
      </c>
      <c r="AE42" s="342">
        <f t="shared" si="5"/>
        <v>2</v>
      </c>
    </row>
    <row r="43" spans="1:31" ht="30.75" customHeight="1">
      <c r="A43" s="341" t="s">
        <v>514</v>
      </c>
      <c r="B43" s="365" t="s">
        <v>515</v>
      </c>
      <c r="C43" s="365" t="s">
        <v>487</v>
      </c>
      <c r="D43" s="358">
        <v>6.9444444444444397E-3</v>
      </c>
      <c r="E43" s="358">
        <v>1.0416666666666701E-2</v>
      </c>
      <c r="F43" s="360">
        <v>6.9444444444444397E-3</v>
      </c>
      <c r="G43" s="359">
        <v>3.4722222222222199E-3</v>
      </c>
      <c r="H43" s="357" t="s">
        <v>22</v>
      </c>
      <c r="I43" s="357" t="str">
        <f>$J$58</f>
        <v>NÃO</v>
      </c>
      <c r="J43" s="357" t="s">
        <v>18</v>
      </c>
      <c r="K43" s="357" t="s">
        <v>18</v>
      </c>
      <c r="L43" s="357" t="s">
        <v>18</v>
      </c>
      <c r="M43" s="357" t="s">
        <v>18</v>
      </c>
      <c r="N43" s="357" t="s">
        <v>18</v>
      </c>
      <c r="O43" s="357" t="s">
        <v>18</v>
      </c>
      <c r="P43" s="357" t="s">
        <v>18</v>
      </c>
      <c r="Q43" s="357" t="s">
        <v>18</v>
      </c>
      <c r="R43" s="357" t="s">
        <v>18</v>
      </c>
      <c r="S43" s="357" t="s">
        <v>18</v>
      </c>
      <c r="T43" s="357" t="s">
        <v>18</v>
      </c>
      <c r="U43" s="357" t="s">
        <v>18</v>
      </c>
      <c r="V43" s="357" t="s">
        <v>18</v>
      </c>
      <c r="W43" s="357" t="s">
        <v>18</v>
      </c>
      <c r="X43" s="357" t="s">
        <v>18</v>
      </c>
      <c r="Y43" s="357" t="s">
        <v>18</v>
      </c>
      <c r="Z43" s="357" t="s">
        <v>18</v>
      </c>
      <c r="AA43" s="357" t="s">
        <v>18</v>
      </c>
      <c r="AB43" s="357" t="s">
        <v>18</v>
      </c>
      <c r="AC43" s="358">
        <f t="shared" si="3"/>
        <v>2.430555555555558E-2</v>
      </c>
      <c r="AD43" s="358">
        <f t="shared" si="4"/>
        <v>3.4722222222222199E-3</v>
      </c>
      <c r="AE43" s="342">
        <f t="shared" si="5"/>
        <v>1</v>
      </c>
    </row>
    <row r="44" spans="1:31" ht="30.75" customHeight="1">
      <c r="A44" s="341" t="s">
        <v>516</v>
      </c>
      <c r="B44" s="365" t="s">
        <v>517</v>
      </c>
      <c r="C44" s="365" t="s">
        <v>487</v>
      </c>
      <c r="D44" s="358">
        <v>6.9444444444444397E-3</v>
      </c>
      <c r="E44" s="358">
        <v>1.38888888888889E-2</v>
      </c>
      <c r="F44" s="360">
        <v>1.38888888888889E-2</v>
      </c>
      <c r="G44" s="359">
        <v>2.0833333333333301E-2</v>
      </c>
      <c r="H44" s="357" t="str">
        <f t="shared" ref="H44:H75" si="6">$H$41</f>
        <v>NÃO</v>
      </c>
      <c r="I44" s="357" t="str">
        <f>$J$58</f>
        <v>NÃO</v>
      </c>
      <c r="J44" s="357" t="s">
        <v>18</v>
      </c>
      <c r="K44" s="357" t="s">
        <v>18</v>
      </c>
      <c r="L44" s="357" t="s">
        <v>22</v>
      </c>
      <c r="M44" s="357" t="s">
        <v>18</v>
      </c>
      <c r="N44" s="357" t="s">
        <v>18</v>
      </c>
      <c r="O44" s="357" t="s">
        <v>18</v>
      </c>
      <c r="P44" s="357" t="s">
        <v>18</v>
      </c>
      <c r="Q44" s="357" t="s">
        <v>18</v>
      </c>
      <c r="R44" s="357" t="s">
        <v>18</v>
      </c>
      <c r="S44" s="357" t="s">
        <v>18</v>
      </c>
      <c r="T44" s="357" t="s">
        <v>18</v>
      </c>
      <c r="U44" s="357" t="s">
        <v>18</v>
      </c>
      <c r="V44" s="357" t="s">
        <v>22</v>
      </c>
      <c r="W44" s="357" t="s">
        <v>18</v>
      </c>
      <c r="X44" s="357" t="s">
        <v>18</v>
      </c>
      <c r="Y44" s="357" t="s">
        <v>18</v>
      </c>
      <c r="Z44" s="357" t="s">
        <v>18</v>
      </c>
      <c r="AA44" s="357" t="s">
        <v>18</v>
      </c>
      <c r="AB44" s="357" t="s">
        <v>18</v>
      </c>
      <c r="AC44" s="358">
        <f t="shared" si="3"/>
        <v>3.4722222222222238E-2</v>
      </c>
      <c r="AD44" s="358">
        <f t="shared" si="4"/>
        <v>2.0833333333333301E-2</v>
      </c>
      <c r="AE44" s="342">
        <f t="shared" si="5"/>
        <v>2</v>
      </c>
    </row>
    <row r="45" spans="1:31" ht="30.75" customHeight="1">
      <c r="B45" s="367" t="s">
        <v>518</v>
      </c>
      <c r="C45" s="365" t="s">
        <v>487</v>
      </c>
      <c r="D45" s="358"/>
      <c r="E45" s="358"/>
      <c r="F45" s="360"/>
      <c r="G45" s="359"/>
      <c r="H45" s="357" t="str">
        <f t="shared" si="6"/>
        <v>NÃO</v>
      </c>
      <c r="I45" s="357" t="s">
        <v>18</v>
      </c>
      <c r="J45" s="357" t="s">
        <v>18</v>
      </c>
      <c r="K45" s="357" t="s">
        <v>18</v>
      </c>
      <c r="L45" s="357" t="s">
        <v>18</v>
      </c>
      <c r="M45" s="357" t="s">
        <v>18</v>
      </c>
      <c r="N45" s="357" t="s">
        <v>18</v>
      </c>
      <c r="O45" s="357" t="s">
        <v>18</v>
      </c>
      <c r="P45" s="357" t="s">
        <v>18</v>
      </c>
      <c r="Q45" s="357" t="s">
        <v>18</v>
      </c>
      <c r="R45" s="357" t="s">
        <v>18</v>
      </c>
      <c r="S45" s="357" t="s">
        <v>18</v>
      </c>
      <c r="T45" s="357" t="s">
        <v>18</v>
      </c>
      <c r="U45" s="357" t="s">
        <v>18</v>
      </c>
      <c r="V45" s="357" t="s">
        <v>18</v>
      </c>
      <c r="W45" s="357" t="s">
        <v>18</v>
      </c>
      <c r="X45" s="357" t="s">
        <v>18</v>
      </c>
      <c r="Y45" s="357" t="s">
        <v>18</v>
      </c>
      <c r="Z45" s="357" t="s">
        <v>18</v>
      </c>
      <c r="AA45" s="357" t="s">
        <v>18</v>
      </c>
      <c r="AB45" s="357" t="s">
        <v>18</v>
      </c>
      <c r="AC45" s="358">
        <f t="shared" si="3"/>
        <v>0</v>
      </c>
      <c r="AD45" s="358">
        <f t="shared" si="4"/>
        <v>0</v>
      </c>
      <c r="AE45" s="342">
        <f t="shared" si="5"/>
        <v>0</v>
      </c>
    </row>
    <row r="46" spans="1:31" ht="30.75" customHeight="1">
      <c r="A46" s="341" t="s">
        <v>519</v>
      </c>
      <c r="B46" s="365" t="s">
        <v>520</v>
      </c>
      <c r="C46" s="365" t="s">
        <v>487</v>
      </c>
      <c r="D46" s="358">
        <v>6.9444444444444397E-3</v>
      </c>
      <c r="E46" s="358">
        <v>6.9444444444444397E-3</v>
      </c>
      <c r="F46" s="360">
        <v>0</v>
      </c>
      <c r="G46" s="359">
        <v>1.0416666666666701E-2</v>
      </c>
      <c r="H46" s="357" t="str">
        <f t="shared" si="6"/>
        <v>NÃO</v>
      </c>
      <c r="I46" s="357" t="s">
        <v>18</v>
      </c>
      <c r="J46" s="357" t="s">
        <v>18</v>
      </c>
      <c r="K46" s="357" t="s">
        <v>18</v>
      </c>
      <c r="L46" s="357" t="s">
        <v>18</v>
      </c>
      <c r="M46" s="357" t="s">
        <v>18</v>
      </c>
      <c r="N46" s="357" t="s">
        <v>18</v>
      </c>
      <c r="O46" s="357" t="s">
        <v>18</v>
      </c>
      <c r="P46" s="357" t="s">
        <v>18</v>
      </c>
      <c r="Q46" s="357" t="s">
        <v>18</v>
      </c>
      <c r="R46" s="357" t="s">
        <v>18</v>
      </c>
      <c r="S46" s="357" t="s">
        <v>18</v>
      </c>
      <c r="T46" s="357" t="s">
        <v>18</v>
      </c>
      <c r="U46" s="357" t="s">
        <v>18</v>
      </c>
      <c r="V46" s="357" t="s">
        <v>18</v>
      </c>
      <c r="W46" s="357" t="s">
        <v>22</v>
      </c>
      <c r="X46" s="357" t="s">
        <v>18</v>
      </c>
      <c r="Y46" s="357" t="s">
        <v>18</v>
      </c>
      <c r="Z46" s="357" t="s">
        <v>18</v>
      </c>
      <c r="AA46" s="357" t="str">
        <f>$H$62</f>
        <v>NÃO</v>
      </c>
      <c r="AB46" s="357" t="s">
        <v>18</v>
      </c>
      <c r="AC46" s="358">
        <f t="shared" si="3"/>
        <v>0</v>
      </c>
      <c r="AD46" s="358">
        <f t="shared" si="4"/>
        <v>0</v>
      </c>
      <c r="AE46" s="342">
        <f t="shared" si="5"/>
        <v>1</v>
      </c>
    </row>
    <row r="47" spans="1:31" ht="30.75" customHeight="1">
      <c r="B47" s="367" t="s">
        <v>521</v>
      </c>
      <c r="C47" s="365" t="s">
        <v>487</v>
      </c>
      <c r="D47" s="358"/>
      <c r="E47" s="358"/>
      <c r="F47" s="360"/>
      <c r="G47" s="359"/>
      <c r="H47" s="357" t="str">
        <f t="shared" si="6"/>
        <v>NÃO</v>
      </c>
      <c r="I47" s="357" t="s">
        <v>18</v>
      </c>
      <c r="J47" s="357" t="s">
        <v>18</v>
      </c>
      <c r="K47" s="357" t="s">
        <v>18</v>
      </c>
      <c r="L47" s="357" t="s">
        <v>18</v>
      </c>
      <c r="M47" s="357" t="s">
        <v>18</v>
      </c>
      <c r="N47" s="357" t="s">
        <v>18</v>
      </c>
      <c r="O47" s="357" t="s">
        <v>18</v>
      </c>
      <c r="P47" s="357" t="s">
        <v>18</v>
      </c>
      <c r="Q47" s="357" t="s">
        <v>18</v>
      </c>
      <c r="R47" s="357" t="s">
        <v>18</v>
      </c>
      <c r="S47" s="357" t="s">
        <v>18</v>
      </c>
      <c r="T47" s="357" t="s">
        <v>18</v>
      </c>
      <c r="U47" s="357" t="s">
        <v>18</v>
      </c>
      <c r="V47" s="357" t="s">
        <v>18</v>
      </c>
      <c r="W47" s="357" t="s">
        <v>18</v>
      </c>
      <c r="X47" s="357" t="s">
        <v>18</v>
      </c>
      <c r="Y47" s="357" t="s">
        <v>18</v>
      </c>
      <c r="Z47" s="357" t="s">
        <v>18</v>
      </c>
      <c r="AA47" s="357" t="s">
        <v>18</v>
      </c>
      <c r="AB47" s="357" t="s">
        <v>18</v>
      </c>
      <c r="AC47" s="358">
        <f t="shared" si="3"/>
        <v>0</v>
      </c>
      <c r="AD47" s="358">
        <f t="shared" si="4"/>
        <v>0</v>
      </c>
      <c r="AE47" s="342">
        <f t="shared" si="5"/>
        <v>0</v>
      </c>
    </row>
    <row r="48" spans="1:31" ht="30.75" customHeight="1">
      <c r="B48" s="367" t="s">
        <v>522</v>
      </c>
      <c r="C48" s="365" t="s">
        <v>487</v>
      </c>
      <c r="D48" s="358"/>
      <c r="E48" s="358"/>
      <c r="F48" s="360"/>
      <c r="G48" s="359"/>
      <c r="H48" s="357" t="str">
        <f t="shared" si="6"/>
        <v>NÃO</v>
      </c>
      <c r="I48" s="357" t="s">
        <v>18</v>
      </c>
      <c r="J48" s="357" t="s">
        <v>18</v>
      </c>
      <c r="K48" s="357" t="s">
        <v>18</v>
      </c>
      <c r="L48" s="357" t="s">
        <v>18</v>
      </c>
      <c r="M48" s="357" t="s">
        <v>18</v>
      </c>
      <c r="N48" s="357" t="s">
        <v>18</v>
      </c>
      <c r="O48" s="357" t="s">
        <v>18</v>
      </c>
      <c r="P48" s="357" t="s">
        <v>18</v>
      </c>
      <c r="Q48" s="357" t="s">
        <v>18</v>
      </c>
      <c r="R48" s="357" t="s">
        <v>18</v>
      </c>
      <c r="S48" s="357" t="s">
        <v>18</v>
      </c>
      <c r="T48" s="357" t="s">
        <v>18</v>
      </c>
      <c r="U48" s="357" t="s">
        <v>18</v>
      </c>
      <c r="V48" s="357" t="s">
        <v>18</v>
      </c>
      <c r="W48" s="357" t="s">
        <v>18</v>
      </c>
      <c r="X48" s="357" t="s">
        <v>18</v>
      </c>
      <c r="Y48" s="357" t="s">
        <v>18</v>
      </c>
      <c r="Z48" s="357" t="s">
        <v>18</v>
      </c>
      <c r="AA48" s="357" t="s">
        <v>18</v>
      </c>
      <c r="AB48" s="357" t="s">
        <v>18</v>
      </c>
      <c r="AC48" s="358">
        <f t="shared" si="3"/>
        <v>0</v>
      </c>
      <c r="AD48" s="358">
        <f t="shared" si="4"/>
        <v>0</v>
      </c>
      <c r="AE48" s="342">
        <f t="shared" si="5"/>
        <v>0</v>
      </c>
    </row>
    <row r="49" spans="1:34" ht="30.75" customHeight="1">
      <c r="B49" s="367" t="s">
        <v>523</v>
      </c>
      <c r="C49" s="365" t="s">
        <v>487</v>
      </c>
      <c r="D49" s="358"/>
      <c r="E49" s="358"/>
      <c r="F49" s="360"/>
      <c r="G49" s="359"/>
      <c r="H49" s="357" t="str">
        <f t="shared" si="6"/>
        <v>NÃO</v>
      </c>
      <c r="I49" s="357" t="s">
        <v>18</v>
      </c>
      <c r="J49" s="357" t="s">
        <v>18</v>
      </c>
      <c r="K49" s="357" t="s">
        <v>18</v>
      </c>
      <c r="L49" s="357" t="s">
        <v>18</v>
      </c>
      <c r="M49" s="357" t="s">
        <v>18</v>
      </c>
      <c r="N49" s="357" t="s">
        <v>18</v>
      </c>
      <c r="O49" s="357" t="s">
        <v>18</v>
      </c>
      <c r="P49" s="357" t="s">
        <v>18</v>
      </c>
      <c r="Q49" s="357" t="s">
        <v>18</v>
      </c>
      <c r="R49" s="357" t="s">
        <v>18</v>
      </c>
      <c r="S49" s="357" t="s">
        <v>18</v>
      </c>
      <c r="T49" s="357" t="s">
        <v>18</v>
      </c>
      <c r="U49" s="357" t="s">
        <v>18</v>
      </c>
      <c r="V49" s="357" t="s">
        <v>18</v>
      </c>
      <c r="W49" s="357" t="s">
        <v>18</v>
      </c>
      <c r="X49" s="357" t="s">
        <v>18</v>
      </c>
      <c r="Y49" s="357" t="s">
        <v>18</v>
      </c>
      <c r="Z49" s="357" t="s">
        <v>18</v>
      </c>
      <c r="AA49" s="357" t="s">
        <v>18</v>
      </c>
      <c r="AB49" s="357" t="s">
        <v>18</v>
      </c>
      <c r="AC49" s="358">
        <f t="shared" si="3"/>
        <v>0</v>
      </c>
      <c r="AD49" s="358">
        <f t="shared" si="4"/>
        <v>0</v>
      </c>
      <c r="AE49" s="342">
        <f t="shared" si="5"/>
        <v>0</v>
      </c>
    </row>
    <row r="50" spans="1:34" ht="30.75" customHeight="1">
      <c r="B50" s="367" t="s">
        <v>524</v>
      </c>
      <c r="C50" s="365" t="s">
        <v>487</v>
      </c>
      <c r="D50" s="358"/>
      <c r="E50" s="358"/>
      <c r="F50" s="360"/>
      <c r="G50" s="359"/>
      <c r="H50" s="357" t="str">
        <f t="shared" si="6"/>
        <v>NÃO</v>
      </c>
      <c r="I50" s="357" t="s">
        <v>18</v>
      </c>
      <c r="J50" s="357" t="s">
        <v>18</v>
      </c>
      <c r="K50" s="357" t="s">
        <v>18</v>
      </c>
      <c r="L50" s="357" t="s">
        <v>18</v>
      </c>
      <c r="M50" s="357" t="s">
        <v>18</v>
      </c>
      <c r="N50" s="357" t="s">
        <v>18</v>
      </c>
      <c r="O50" s="357" t="s">
        <v>18</v>
      </c>
      <c r="P50" s="357" t="s">
        <v>18</v>
      </c>
      <c r="Q50" s="357" t="s">
        <v>18</v>
      </c>
      <c r="R50" s="357" t="s">
        <v>18</v>
      </c>
      <c r="S50" s="357" t="s">
        <v>18</v>
      </c>
      <c r="T50" s="357" t="s">
        <v>18</v>
      </c>
      <c r="U50" s="357" t="s">
        <v>18</v>
      </c>
      <c r="V50" s="357" t="s">
        <v>18</v>
      </c>
      <c r="W50" s="357" t="s">
        <v>18</v>
      </c>
      <c r="X50" s="357" t="s">
        <v>18</v>
      </c>
      <c r="Y50" s="357" t="s">
        <v>18</v>
      </c>
      <c r="Z50" s="357" t="s">
        <v>18</v>
      </c>
      <c r="AA50" s="357" t="s">
        <v>18</v>
      </c>
      <c r="AB50" s="357" t="s">
        <v>18</v>
      </c>
      <c r="AC50" s="358">
        <f t="shared" si="3"/>
        <v>0</v>
      </c>
      <c r="AD50" s="358">
        <f t="shared" si="4"/>
        <v>0</v>
      </c>
      <c r="AE50" s="342">
        <f t="shared" si="5"/>
        <v>0</v>
      </c>
    </row>
    <row r="51" spans="1:34" ht="30.75" customHeight="1">
      <c r="B51" s="367" t="s">
        <v>525</v>
      </c>
      <c r="C51" s="365" t="s">
        <v>487</v>
      </c>
      <c r="D51" s="358"/>
      <c r="E51" s="358"/>
      <c r="F51" s="360"/>
      <c r="G51" s="359"/>
      <c r="H51" s="357" t="str">
        <f t="shared" si="6"/>
        <v>NÃO</v>
      </c>
      <c r="I51" s="357" t="s">
        <v>18</v>
      </c>
      <c r="J51" s="357" t="s">
        <v>18</v>
      </c>
      <c r="K51" s="357" t="s">
        <v>18</v>
      </c>
      <c r="L51" s="357" t="s">
        <v>18</v>
      </c>
      <c r="M51" s="357" t="s">
        <v>18</v>
      </c>
      <c r="N51" s="357" t="s">
        <v>18</v>
      </c>
      <c r="O51" s="357" t="s">
        <v>18</v>
      </c>
      <c r="P51" s="357" t="s">
        <v>18</v>
      </c>
      <c r="Q51" s="357" t="s">
        <v>18</v>
      </c>
      <c r="R51" s="357" t="s">
        <v>18</v>
      </c>
      <c r="S51" s="357" t="s">
        <v>18</v>
      </c>
      <c r="T51" s="357" t="s">
        <v>18</v>
      </c>
      <c r="U51" s="357" t="s">
        <v>18</v>
      </c>
      <c r="V51" s="357" t="s">
        <v>18</v>
      </c>
      <c r="W51" s="357" t="s">
        <v>18</v>
      </c>
      <c r="X51" s="357" t="s">
        <v>18</v>
      </c>
      <c r="Y51" s="357" t="s">
        <v>18</v>
      </c>
      <c r="Z51" s="357" t="s">
        <v>18</v>
      </c>
      <c r="AA51" s="357" t="s">
        <v>18</v>
      </c>
      <c r="AB51" s="357" t="s">
        <v>18</v>
      </c>
      <c r="AC51" s="358">
        <f t="shared" si="3"/>
        <v>0</v>
      </c>
      <c r="AD51" s="358">
        <f t="shared" si="4"/>
        <v>0</v>
      </c>
      <c r="AE51" s="342">
        <f t="shared" si="5"/>
        <v>0</v>
      </c>
    </row>
    <row r="52" spans="1:34" ht="30.75" customHeight="1">
      <c r="A52" s="341" t="s">
        <v>526</v>
      </c>
      <c r="B52" s="365" t="s">
        <v>527</v>
      </c>
      <c r="C52" s="365" t="s">
        <v>487</v>
      </c>
      <c r="D52" s="358">
        <v>6.9444444444444397E-3</v>
      </c>
      <c r="E52" s="358">
        <v>6.9444444444444397E-3</v>
      </c>
      <c r="F52" s="360">
        <v>0</v>
      </c>
      <c r="G52" s="359">
        <v>6.9444444444444397E-3</v>
      </c>
      <c r="H52" s="357" t="str">
        <f t="shared" si="6"/>
        <v>NÃO</v>
      </c>
      <c r="I52" s="357" t="s">
        <v>18</v>
      </c>
      <c r="J52" s="357" t="s">
        <v>18</v>
      </c>
      <c r="K52" s="357" t="s">
        <v>18</v>
      </c>
      <c r="L52" s="357" t="s">
        <v>18</v>
      </c>
      <c r="M52" s="357" t="s">
        <v>18</v>
      </c>
      <c r="N52" s="357" t="s">
        <v>18</v>
      </c>
      <c r="O52" s="357" t="s">
        <v>18</v>
      </c>
      <c r="P52" s="357" t="s">
        <v>18</v>
      </c>
      <c r="Q52" s="357" t="s">
        <v>18</v>
      </c>
      <c r="R52" s="357" t="s">
        <v>18</v>
      </c>
      <c r="S52" s="357" t="s">
        <v>18</v>
      </c>
      <c r="T52" s="357" t="s">
        <v>18</v>
      </c>
      <c r="U52" s="357" t="s">
        <v>18</v>
      </c>
      <c r="V52" s="357" t="s">
        <v>22</v>
      </c>
      <c r="W52" s="357" t="s">
        <v>18</v>
      </c>
      <c r="X52" s="357" t="s">
        <v>18</v>
      </c>
      <c r="Y52" s="357" t="s">
        <v>18</v>
      </c>
      <c r="Z52" s="357" t="s">
        <v>18</v>
      </c>
      <c r="AA52" s="357" t="s">
        <v>18</v>
      </c>
      <c r="AB52" s="357" t="s">
        <v>18</v>
      </c>
      <c r="AC52" s="358">
        <f t="shared" si="3"/>
        <v>1.3888888888888879E-2</v>
      </c>
      <c r="AD52" s="358">
        <f t="shared" si="4"/>
        <v>6.9444444444444397E-3</v>
      </c>
      <c r="AE52" s="342">
        <f t="shared" si="5"/>
        <v>1</v>
      </c>
    </row>
    <row r="53" spans="1:34" ht="30.75" customHeight="1">
      <c r="B53" s="367" t="s">
        <v>528</v>
      </c>
      <c r="C53" s="365" t="s">
        <v>487</v>
      </c>
      <c r="D53" s="358"/>
      <c r="E53" s="358"/>
      <c r="F53" s="360"/>
      <c r="G53" s="359"/>
      <c r="H53" s="357" t="str">
        <f t="shared" si="6"/>
        <v>NÃO</v>
      </c>
      <c r="I53" s="357" t="s">
        <v>18</v>
      </c>
      <c r="J53" s="357" t="s">
        <v>18</v>
      </c>
      <c r="K53" s="357" t="s">
        <v>18</v>
      </c>
      <c r="L53" s="357" t="s">
        <v>18</v>
      </c>
      <c r="M53" s="357" t="s">
        <v>18</v>
      </c>
      <c r="N53" s="357" t="s">
        <v>18</v>
      </c>
      <c r="O53" s="357" t="s">
        <v>18</v>
      </c>
      <c r="P53" s="357" t="s">
        <v>18</v>
      </c>
      <c r="Q53" s="357" t="s">
        <v>18</v>
      </c>
      <c r="R53" s="357" t="s">
        <v>18</v>
      </c>
      <c r="S53" s="357" t="s">
        <v>18</v>
      </c>
      <c r="T53" s="357" t="s">
        <v>18</v>
      </c>
      <c r="U53" s="357" t="s">
        <v>18</v>
      </c>
      <c r="V53" s="357" t="str">
        <f>$I$63</f>
        <v>NÃO</v>
      </c>
      <c r="W53" s="357" t="s">
        <v>18</v>
      </c>
      <c r="X53" s="357" t="s">
        <v>18</v>
      </c>
      <c r="Y53" s="357" t="s">
        <v>18</v>
      </c>
      <c r="Z53" s="357" t="s">
        <v>18</v>
      </c>
      <c r="AA53" s="357" t="s">
        <v>18</v>
      </c>
      <c r="AB53" s="357" t="s">
        <v>18</v>
      </c>
      <c r="AC53" s="358">
        <f t="shared" si="3"/>
        <v>0</v>
      </c>
      <c r="AD53" s="358">
        <f t="shared" si="4"/>
        <v>0</v>
      </c>
      <c r="AE53" s="342">
        <f t="shared" si="5"/>
        <v>0</v>
      </c>
    </row>
    <row r="54" spans="1:34" ht="30.75" customHeight="1">
      <c r="B54" s="367" t="s">
        <v>529</v>
      </c>
      <c r="C54" s="365" t="s">
        <v>487</v>
      </c>
      <c r="D54" s="358"/>
      <c r="E54" s="358"/>
      <c r="F54" s="360"/>
      <c r="G54" s="359"/>
      <c r="H54" s="357" t="str">
        <f t="shared" si="6"/>
        <v>NÃO</v>
      </c>
      <c r="I54" s="357" t="s">
        <v>18</v>
      </c>
      <c r="J54" s="357" t="s">
        <v>18</v>
      </c>
      <c r="K54" s="357" t="s">
        <v>18</v>
      </c>
      <c r="L54" s="357" t="s">
        <v>18</v>
      </c>
      <c r="M54" s="357" t="s">
        <v>18</v>
      </c>
      <c r="N54" s="357" t="s">
        <v>18</v>
      </c>
      <c r="O54" s="357" t="s">
        <v>18</v>
      </c>
      <c r="P54" s="357" t="s">
        <v>18</v>
      </c>
      <c r="Q54" s="357" t="s">
        <v>18</v>
      </c>
      <c r="R54" s="357" t="s">
        <v>18</v>
      </c>
      <c r="S54" s="357" t="s">
        <v>18</v>
      </c>
      <c r="T54" s="357" t="s">
        <v>18</v>
      </c>
      <c r="U54" s="357" t="s">
        <v>18</v>
      </c>
      <c r="V54" s="357" t="str">
        <f>$I$63</f>
        <v>NÃO</v>
      </c>
      <c r="W54" s="357" t="s">
        <v>18</v>
      </c>
      <c r="X54" s="357" t="s">
        <v>18</v>
      </c>
      <c r="Y54" s="357" t="s">
        <v>18</v>
      </c>
      <c r="Z54" s="357" t="s">
        <v>18</v>
      </c>
      <c r="AA54" s="357" t="s">
        <v>18</v>
      </c>
      <c r="AB54" s="357" t="s">
        <v>18</v>
      </c>
      <c r="AC54" s="358">
        <f t="shared" si="3"/>
        <v>0</v>
      </c>
      <c r="AD54" s="358">
        <f t="shared" si="4"/>
        <v>0</v>
      </c>
      <c r="AE54" s="342">
        <f t="shared" si="5"/>
        <v>0</v>
      </c>
    </row>
    <row r="55" spans="1:34" ht="30.75" customHeight="1">
      <c r="B55" s="367" t="s">
        <v>530</v>
      </c>
      <c r="C55" s="365" t="s">
        <v>487</v>
      </c>
      <c r="D55" s="358"/>
      <c r="E55" s="358"/>
      <c r="F55" s="360"/>
      <c r="G55" s="359"/>
      <c r="H55" s="357" t="str">
        <f t="shared" si="6"/>
        <v>NÃO</v>
      </c>
      <c r="I55" s="357" t="s">
        <v>18</v>
      </c>
      <c r="J55" s="357" t="s">
        <v>18</v>
      </c>
      <c r="K55" s="357" t="s">
        <v>18</v>
      </c>
      <c r="L55" s="357" t="s">
        <v>18</v>
      </c>
      <c r="M55" s="357" t="s">
        <v>18</v>
      </c>
      <c r="N55" s="357" t="s">
        <v>18</v>
      </c>
      <c r="O55" s="357" t="s">
        <v>18</v>
      </c>
      <c r="P55" s="357" t="s">
        <v>18</v>
      </c>
      <c r="Q55" s="357" t="s">
        <v>18</v>
      </c>
      <c r="R55" s="357" t="s">
        <v>18</v>
      </c>
      <c r="S55" s="357" t="s">
        <v>18</v>
      </c>
      <c r="T55" s="357" t="s">
        <v>18</v>
      </c>
      <c r="U55" s="357" t="s">
        <v>18</v>
      </c>
      <c r="V55" s="357" t="str">
        <f>$I$63</f>
        <v>NÃO</v>
      </c>
      <c r="W55" s="357" t="s">
        <v>18</v>
      </c>
      <c r="X55" s="357" t="s">
        <v>18</v>
      </c>
      <c r="Y55" s="357" t="s">
        <v>18</v>
      </c>
      <c r="Z55" s="357" t="s">
        <v>18</v>
      </c>
      <c r="AA55" s="357" t="s">
        <v>18</v>
      </c>
      <c r="AB55" s="357" t="s">
        <v>18</v>
      </c>
      <c r="AC55" s="358">
        <f t="shared" si="3"/>
        <v>0</v>
      </c>
      <c r="AD55" s="358">
        <f t="shared" si="4"/>
        <v>0</v>
      </c>
      <c r="AE55" s="342">
        <f t="shared" si="5"/>
        <v>0</v>
      </c>
    </row>
    <row r="56" spans="1:34" ht="30.75" customHeight="1">
      <c r="A56" s="341" t="s">
        <v>531</v>
      </c>
      <c r="B56" s="365" t="s">
        <v>532</v>
      </c>
      <c r="C56" s="365" t="s">
        <v>487</v>
      </c>
      <c r="D56" s="358">
        <v>0</v>
      </c>
      <c r="E56" s="358">
        <v>0</v>
      </c>
      <c r="F56" s="360">
        <v>0</v>
      </c>
      <c r="G56" s="359">
        <v>2.0833333333333301E-2</v>
      </c>
      <c r="H56" s="357" t="str">
        <f t="shared" si="6"/>
        <v>NÃO</v>
      </c>
      <c r="I56" s="357" t="s">
        <v>18</v>
      </c>
      <c r="J56" s="357" t="s">
        <v>18</v>
      </c>
      <c r="K56" s="357" t="s">
        <v>18</v>
      </c>
      <c r="L56" s="357" t="s">
        <v>18</v>
      </c>
      <c r="M56" s="357" t="s">
        <v>18</v>
      </c>
      <c r="N56" s="357" t="s">
        <v>18</v>
      </c>
      <c r="O56" s="357" t="s">
        <v>18</v>
      </c>
      <c r="P56" s="357" t="s">
        <v>18</v>
      </c>
      <c r="Q56" s="357" t="s">
        <v>18</v>
      </c>
      <c r="R56" s="357" t="s">
        <v>18</v>
      </c>
      <c r="S56" s="357" t="s">
        <v>18</v>
      </c>
      <c r="T56" s="357" t="s">
        <v>18</v>
      </c>
      <c r="U56" s="357" t="s">
        <v>18</v>
      </c>
      <c r="V56" s="357" t="s">
        <v>22</v>
      </c>
      <c r="W56" s="357" t="s">
        <v>18</v>
      </c>
      <c r="X56" s="357" t="s">
        <v>18</v>
      </c>
      <c r="Y56" s="357" t="s">
        <v>18</v>
      </c>
      <c r="Z56" s="357" t="s">
        <v>18</v>
      </c>
      <c r="AA56" s="357" t="s">
        <v>18</v>
      </c>
      <c r="AB56" s="357" t="s">
        <v>18</v>
      </c>
      <c r="AC56" s="358">
        <f t="shared" si="3"/>
        <v>0</v>
      </c>
      <c r="AD56" s="358">
        <f t="shared" si="4"/>
        <v>2.0833333333333301E-2</v>
      </c>
      <c r="AE56" s="342">
        <f t="shared" si="5"/>
        <v>1</v>
      </c>
    </row>
    <row r="57" spans="1:34" ht="30.75" customHeight="1">
      <c r="B57" s="367" t="s">
        <v>533</v>
      </c>
      <c r="C57" s="365" t="s">
        <v>487</v>
      </c>
      <c r="D57" s="358"/>
      <c r="E57" s="358"/>
      <c r="F57" s="360"/>
      <c r="G57" s="359"/>
      <c r="H57" s="357" t="str">
        <f t="shared" si="6"/>
        <v>NÃO</v>
      </c>
      <c r="I57" s="357" t="s">
        <v>18</v>
      </c>
      <c r="J57" s="357" t="s">
        <v>18</v>
      </c>
      <c r="K57" s="357" t="s">
        <v>18</v>
      </c>
      <c r="L57" s="357" t="s">
        <v>18</v>
      </c>
      <c r="M57" s="357" t="s">
        <v>18</v>
      </c>
      <c r="N57" s="357" t="s">
        <v>18</v>
      </c>
      <c r="O57" s="357" t="s">
        <v>18</v>
      </c>
      <c r="P57" s="357" t="s">
        <v>18</v>
      </c>
      <c r="Q57" s="357" t="s">
        <v>18</v>
      </c>
      <c r="R57" s="357" t="s">
        <v>18</v>
      </c>
      <c r="S57" s="357" t="s">
        <v>18</v>
      </c>
      <c r="T57" s="357" t="s">
        <v>18</v>
      </c>
      <c r="U57" s="357" t="s">
        <v>18</v>
      </c>
      <c r="V57" s="357" t="str">
        <f>$I$63</f>
        <v>NÃO</v>
      </c>
      <c r="W57" s="357" t="s">
        <v>18</v>
      </c>
      <c r="X57" s="357" t="s">
        <v>18</v>
      </c>
      <c r="Y57" s="357" t="s">
        <v>18</v>
      </c>
      <c r="Z57" s="357" t="s">
        <v>18</v>
      </c>
      <c r="AA57" s="357" t="s">
        <v>18</v>
      </c>
      <c r="AB57" s="357" t="s">
        <v>18</v>
      </c>
      <c r="AC57" s="358">
        <f t="shared" si="3"/>
        <v>0</v>
      </c>
      <c r="AD57" s="358">
        <f t="shared" si="4"/>
        <v>0</v>
      </c>
      <c r="AE57" s="342">
        <f t="shared" si="5"/>
        <v>0</v>
      </c>
    </row>
    <row r="58" spans="1:34" ht="30.75" customHeight="1">
      <c r="A58" s="341" t="s">
        <v>534</v>
      </c>
      <c r="B58" s="367" t="s">
        <v>535</v>
      </c>
      <c r="C58" s="365" t="s">
        <v>487</v>
      </c>
      <c r="D58" s="358">
        <v>4.1666666666666699E-2</v>
      </c>
      <c r="E58" s="358">
        <v>0</v>
      </c>
      <c r="F58" s="360">
        <v>0</v>
      </c>
      <c r="G58" s="359">
        <v>8.3333333333333301E-2</v>
      </c>
      <c r="H58" s="357" t="str">
        <f t="shared" si="6"/>
        <v>NÃO</v>
      </c>
      <c r="I58" s="357" t="s">
        <v>18</v>
      </c>
      <c r="J58" s="357" t="s">
        <v>18</v>
      </c>
      <c r="K58" s="357" t="s">
        <v>18</v>
      </c>
      <c r="L58" s="357" t="s">
        <v>18</v>
      </c>
      <c r="M58" s="357" t="s">
        <v>18</v>
      </c>
      <c r="N58" s="357" t="s">
        <v>18</v>
      </c>
      <c r="O58" s="357" t="s">
        <v>18</v>
      </c>
      <c r="P58" s="357" t="s">
        <v>18</v>
      </c>
      <c r="Q58" s="357" t="s">
        <v>18</v>
      </c>
      <c r="R58" s="357" t="s">
        <v>18</v>
      </c>
      <c r="S58" s="357" t="s">
        <v>18</v>
      </c>
      <c r="T58" s="357" t="s">
        <v>18</v>
      </c>
      <c r="U58" s="357" t="s">
        <v>18</v>
      </c>
      <c r="V58" s="357" t="s">
        <v>22</v>
      </c>
      <c r="W58" s="357" t="s">
        <v>18</v>
      </c>
      <c r="X58" s="357" t="s">
        <v>18</v>
      </c>
      <c r="Y58" s="357" t="s">
        <v>18</v>
      </c>
      <c r="Z58" s="357" t="s">
        <v>18</v>
      </c>
      <c r="AA58" s="357" t="str">
        <f>$H$62</f>
        <v>NÃO</v>
      </c>
      <c r="AB58" s="357" t="s">
        <v>18</v>
      </c>
      <c r="AC58" s="358">
        <f t="shared" si="3"/>
        <v>4.1666666666666699E-2</v>
      </c>
      <c r="AD58" s="358">
        <f t="shared" si="4"/>
        <v>8.3333333333333301E-2</v>
      </c>
      <c r="AE58" s="342">
        <f t="shared" si="5"/>
        <v>1</v>
      </c>
    </row>
    <row r="59" spans="1:34" ht="30.75" customHeight="1">
      <c r="A59" s="341" t="s">
        <v>536</v>
      </c>
      <c r="B59" s="368" t="s">
        <v>537</v>
      </c>
      <c r="C59" s="368" t="s">
        <v>487</v>
      </c>
      <c r="D59" s="358">
        <v>0.20833333333333301</v>
      </c>
      <c r="E59" s="358">
        <v>0</v>
      </c>
      <c r="F59" s="360">
        <v>0</v>
      </c>
      <c r="G59" s="359">
        <v>1.38888888888889E-2</v>
      </c>
      <c r="H59" s="357" t="str">
        <f t="shared" si="6"/>
        <v>NÃO</v>
      </c>
      <c r="I59" s="357" t="s">
        <v>18</v>
      </c>
      <c r="J59" s="357" t="s">
        <v>18</v>
      </c>
      <c r="K59" s="357" t="s">
        <v>18</v>
      </c>
      <c r="L59" s="357" t="s">
        <v>18</v>
      </c>
      <c r="M59" s="357" t="s">
        <v>18</v>
      </c>
      <c r="N59" s="357" t="s">
        <v>18</v>
      </c>
      <c r="O59" s="357" t="s">
        <v>18</v>
      </c>
      <c r="P59" s="357" t="s">
        <v>18</v>
      </c>
      <c r="Q59" s="357" t="s">
        <v>18</v>
      </c>
      <c r="R59" s="357" t="s">
        <v>18</v>
      </c>
      <c r="S59" s="357" t="s">
        <v>18</v>
      </c>
      <c r="T59" s="357" t="s">
        <v>18</v>
      </c>
      <c r="U59" s="357" t="s">
        <v>18</v>
      </c>
      <c r="V59" s="357" t="s">
        <v>22</v>
      </c>
      <c r="W59" s="357" t="s">
        <v>18</v>
      </c>
      <c r="X59" s="357" t="s">
        <v>18</v>
      </c>
      <c r="Y59" s="357" t="s">
        <v>18</v>
      </c>
      <c r="Z59" s="357" t="s">
        <v>22</v>
      </c>
      <c r="AA59" s="357" t="str">
        <f>$H$62</f>
        <v>NÃO</v>
      </c>
      <c r="AB59" s="357" t="s">
        <v>18</v>
      </c>
      <c r="AC59" s="358">
        <f t="shared" si="3"/>
        <v>0.20833333333333301</v>
      </c>
      <c r="AD59" s="358">
        <f t="shared" si="4"/>
        <v>1.38888888888889E-2</v>
      </c>
      <c r="AE59" s="342">
        <f t="shared" si="5"/>
        <v>2</v>
      </c>
    </row>
    <row r="60" spans="1:34" ht="30.75" customHeight="1">
      <c r="B60" s="367" t="s">
        <v>538</v>
      </c>
      <c r="C60" s="368" t="s">
        <v>487</v>
      </c>
      <c r="D60" s="358"/>
      <c r="E60" s="358"/>
      <c r="F60" s="360"/>
      <c r="G60" s="359"/>
      <c r="H60" s="357" t="str">
        <f t="shared" si="6"/>
        <v>NÃO</v>
      </c>
      <c r="I60" s="357" t="s">
        <v>18</v>
      </c>
      <c r="J60" s="357" t="s">
        <v>18</v>
      </c>
      <c r="K60" s="357" t="s">
        <v>18</v>
      </c>
      <c r="L60" s="357" t="s">
        <v>18</v>
      </c>
      <c r="M60" s="357" t="s">
        <v>18</v>
      </c>
      <c r="N60" s="357" t="s">
        <v>18</v>
      </c>
      <c r="O60" s="357" t="s">
        <v>18</v>
      </c>
      <c r="P60" s="357" t="s">
        <v>18</v>
      </c>
      <c r="Q60" s="357" t="s">
        <v>18</v>
      </c>
      <c r="R60" s="357" t="s">
        <v>18</v>
      </c>
      <c r="S60" s="357" t="s">
        <v>18</v>
      </c>
      <c r="T60" s="357" t="s">
        <v>18</v>
      </c>
      <c r="U60" s="357" t="s">
        <v>18</v>
      </c>
      <c r="V60" s="357" t="s">
        <v>22</v>
      </c>
      <c r="W60" s="357" t="s">
        <v>18</v>
      </c>
      <c r="X60" s="357" t="s">
        <v>18</v>
      </c>
      <c r="Y60" s="357" t="s">
        <v>18</v>
      </c>
      <c r="Z60" s="357" t="s">
        <v>18</v>
      </c>
      <c r="AA60" s="357" t="str">
        <f>$H$62</f>
        <v>NÃO</v>
      </c>
      <c r="AB60" s="357" t="s">
        <v>18</v>
      </c>
      <c r="AC60" s="359">
        <f t="shared" si="3"/>
        <v>0</v>
      </c>
      <c r="AD60" s="358">
        <f t="shared" si="4"/>
        <v>0</v>
      </c>
      <c r="AE60" s="342">
        <f t="shared" si="5"/>
        <v>1</v>
      </c>
    </row>
    <row r="61" spans="1:34" ht="30.75" customHeight="1">
      <c r="A61" s="341" t="s">
        <v>539</v>
      </c>
      <c r="B61" s="367" t="s">
        <v>540</v>
      </c>
      <c r="C61" s="368" t="s">
        <v>487</v>
      </c>
      <c r="D61" s="358"/>
      <c r="E61" s="358"/>
      <c r="F61" s="360"/>
      <c r="G61" s="359"/>
      <c r="H61" s="357" t="str">
        <f t="shared" si="6"/>
        <v>NÃO</v>
      </c>
      <c r="I61" s="357" t="s">
        <v>18</v>
      </c>
      <c r="J61" s="357" t="s">
        <v>18</v>
      </c>
      <c r="K61" s="357" t="s">
        <v>18</v>
      </c>
      <c r="L61" s="357" t="s">
        <v>18</v>
      </c>
      <c r="M61" s="357" t="s">
        <v>18</v>
      </c>
      <c r="N61" s="357" t="s">
        <v>18</v>
      </c>
      <c r="O61" s="357" t="s">
        <v>18</v>
      </c>
      <c r="P61" s="357" t="s">
        <v>18</v>
      </c>
      <c r="Q61" s="357" t="s">
        <v>18</v>
      </c>
      <c r="R61" s="357" t="s">
        <v>18</v>
      </c>
      <c r="S61" s="357" t="s">
        <v>18</v>
      </c>
      <c r="T61" s="357" t="s">
        <v>18</v>
      </c>
      <c r="U61" s="357" t="s">
        <v>18</v>
      </c>
      <c r="V61" s="357" t="s">
        <v>18</v>
      </c>
      <c r="W61" s="357" t="s">
        <v>18</v>
      </c>
      <c r="X61" s="357" t="s">
        <v>18</v>
      </c>
      <c r="Y61" s="357" t="s">
        <v>18</v>
      </c>
      <c r="Z61" s="357" t="str">
        <f>$I$63</f>
        <v>NÃO</v>
      </c>
      <c r="AA61" s="357" t="str">
        <f>$H$62</f>
        <v>NÃO</v>
      </c>
      <c r="AB61" s="357" t="s">
        <v>18</v>
      </c>
      <c r="AC61" s="358">
        <f t="shared" si="3"/>
        <v>0</v>
      </c>
      <c r="AD61" s="358">
        <f t="shared" si="4"/>
        <v>0</v>
      </c>
      <c r="AE61" s="342">
        <f t="shared" si="5"/>
        <v>0</v>
      </c>
    </row>
    <row r="62" spans="1:34" ht="30.75" customHeight="1">
      <c r="A62" s="341" t="s">
        <v>541</v>
      </c>
      <c r="B62" s="368" t="s">
        <v>542</v>
      </c>
      <c r="C62" s="368" t="s">
        <v>487</v>
      </c>
      <c r="D62" s="358">
        <v>6.9444444444444397E-3</v>
      </c>
      <c r="E62" s="358">
        <v>1.38888888888889E-2</v>
      </c>
      <c r="F62" s="360">
        <v>1.1111111111111099E-2</v>
      </c>
      <c r="G62" s="359">
        <v>1.38888888888889E-2</v>
      </c>
      <c r="H62" s="357" t="str">
        <f t="shared" si="6"/>
        <v>NÃO</v>
      </c>
      <c r="I62" s="357" t="s">
        <v>18</v>
      </c>
      <c r="J62" s="357" t="s">
        <v>18</v>
      </c>
      <c r="K62" s="357" t="s">
        <v>18</v>
      </c>
      <c r="L62" s="357" t="s">
        <v>18</v>
      </c>
      <c r="M62" s="357" t="s">
        <v>18</v>
      </c>
      <c r="N62" s="357" t="s">
        <v>18</v>
      </c>
      <c r="O62" s="357" t="s">
        <v>18</v>
      </c>
      <c r="P62" s="357" t="s">
        <v>18</v>
      </c>
      <c r="Q62" s="357" t="s">
        <v>18</v>
      </c>
      <c r="R62" s="357" t="s">
        <v>18</v>
      </c>
      <c r="S62" s="357" t="s">
        <v>18</v>
      </c>
      <c r="T62" s="357" t="s">
        <v>18</v>
      </c>
      <c r="U62" s="357" t="s">
        <v>18</v>
      </c>
      <c r="V62" s="357" t="s">
        <v>22</v>
      </c>
      <c r="W62" s="357" t="s">
        <v>18</v>
      </c>
      <c r="X62" s="357" t="s">
        <v>18</v>
      </c>
      <c r="Y62" s="357" t="s">
        <v>18</v>
      </c>
      <c r="Z62" s="357" t="s">
        <v>22</v>
      </c>
      <c r="AA62" s="357" t="str">
        <f>$H$62</f>
        <v>NÃO</v>
      </c>
      <c r="AB62" s="357" t="s">
        <v>18</v>
      </c>
      <c r="AC62" s="358">
        <f t="shared" si="3"/>
        <v>3.1944444444444442E-2</v>
      </c>
      <c r="AD62" s="358">
        <f t="shared" si="4"/>
        <v>1.38888888888889E-2</v>
      </c>
      <c r="AE62" s="342">
        <f t="shared" si="5"/>
        <v>2</v>
      </c>
      <c r="AF62" s="369"/>
      <c r="AG62" s="369"/>
      <c r="AH62" s="369"/>
    </row>
    <row r="63" spans="1:34" ht="30.75" customHeight="1">
      <c r="A63" s="594" t="s">
        <v>543</v>
      </c>
      <c r="B63" s="368" t="s">
        <v>544</v>
      </c>
      <c r="C63" s="368" t="s">
        <v>487</v>
      </c>
      <c r="D63" s="599">
        <v>1.0416666666666701E-2</v>
      </c>
      <c r="E63" s="600">
        <v>2.0833333333333301E-2</v>
      </c>
      <c r="F63" s="601">
        <v>2.0833333333333301E-2</v>
      </c>
      <c r="G63" s="602">
        <v>2.0833333333333301E-2</v>
      </c>
      <c r="H63" s="357" t="str">
        <f t="shared" si="6"/>
        <v>NÃO</v>
      </c>
      <c r="I63" s="357" t="s">
        <v>18</v>
      </c>
      <c r="J63" s="357" t="s">
        <v>18</v>
      </c>
      <c r="K63" s="357" t="s">
        <v>18</v>
      </c>
      <c r="L63" s="357" t="s">
        <v>18</v>
      </c>
      <c r="M63" s="357" t="s">
        <v>18</v>
      </c>
      <c r="N63" s="357" t="s">
        <v>18</v>
      </c>
      <c r="O63" s="357" t="s">
        <v>18</v>
      </c>
      <c r="P63" s="357" t="s">
        <v>18</v>
      </c>
      <c r="Q63" s="357" t="s">
        <v>18</v>
      </c>
      <c r="R63" s="357" t="s">
        <v>18</v>
      </c>
      <c r="S63" s="357" t="s">
        <v>18</v>
      </c>
      <c r="T63" s="357" t="s">
        <v>18</v>
      </c>
      <c r="U63" s="357" t="s">
        <v>18</v>
      </c>
      <c r="V63" s="357" t="s">
        <v>22</v>
      </c>
      <c r="W63" s="357" t="s">
        <v>18</v>
      </c>
      <c r="X63" s="357" t="s">
        <v>18</v>
      </c>
      <c r="Y63" s="357" t="s">
        <v>18</v>
      </c>
      <c r="Z63" s="357" t="s">
        <v>18</v>
      </c>
      <c r="AA63" s="357" t="s">
        <v>18</v>
      </c>
      <c r="AB63" s="357" t="s">
        <v>18</v>
      </c>
      <c r="AC63" s="358">
        <f t="shared" si="3"/>
        <v>5.2083333333333301E-2</v>
      </c>
      <c r="AD63" s="358">
        <f t="shared" si="4"/>
        <v>2.0833333333333301E-2</v>
      </c>
      <c r="AE63" s="342">
        <f t="shared" si="5"/>
        <v>1</v>
      </c>
    </row>
    <row r="64" spans="1:34" ht="30.75" customHeight="1">
      <c r="A64" s="594"/>
      <c r="B64" s="368" t="s">
        <v>545</v>
      </c>
      <c r="C64" s="368" t="s">
        <v>487</v>
      </c>
      <c r="D64" s="599"/>
      <c r="E64" s="600"/>
      <c r="F64" s="601"/>
      <c r="G64" s="602"/>
      <c r="H64" s="357" t="str">
        <f t="shared" si="6"/>
        <v>NÃO</v>
      </c>
      <c r="I64" s="357" t="s">
        <v>18</v>
      </c>
      <c r="J64" s="357" t="s">
        <v>18</v>
      </c>
      <c r="K64" s="357" t="s">
        <v>18</v>
      </c>
      <c r="L64" s="357" t="s">
        <v>18</v>
      </c>
      <c r="M64" s="357" t="s">
        <v>18</v>
      </c>
      <c r="N64" s="357" t="s">
        <v>18</v>
      </c>
      <c r="O64" s="357" t="s">
        <v>18</v>
      </c>
      <c r="P64" s="357" t="s">
        <v>18</v>
      </c>
      <c r="Q64" s="357" t="s">
        <v>18</v>
      </c>
      <c r="R64" s="357" t="s">
        <v>18</v>
      </c>
      <c r="S64" s="357" t="s">
        <v>18</v>
      </c>
      <c r="T64" s="357" t="s">
        <v>18</v>
      </c>
      <c r="U64" s="357" t="s">
        <v>18</v>
      </c>
      <c r="V64" s="357" t="s">
        <v>22</v>
      </c>
      <c r="W64" s="357" t="s">
        <v>18</v>
      </c>
      <c r="X64" s="357" t="s">
        <v>18</v>
      </c>
      <c r="Y64" s="357" t="s">
        <v>18</v>
      </c>
      <c r="Z64" s="357" t="str">
        <f>$I$63</f>
        <v>NÃO</v>
      </c>
      <c r="AA64" s="357" t="str">
        <f>$H$62</f>
        <v>NÃO</v>
      </c>
      <c r="AB64" s="357" t="s">
        <v>18</v>
      </c>
      <c r="AC64" s="358">
        <f t="shared" si="3"/>
        <v>0</v>
      </c>
      <c r="AD64" s="358">
        <f t="shared" si="4"/>
        <v>0</v>
      </c>
      <c r="AE64" s="342">
        <f t="shared" si="5"/>
        <v>1</v>
      </c>
    </row>
    <row r="65" spans="1:31" ht="30.75" customHeight="1">
      <c r="A65" s="594"/>
      <c r="B65" s="366" t="s">
        <v>546</v>
      </c>
      <c r="C65" s="368" t="s">
        <v>487</v>
      </c>
      <c r="D65" s="599"/>
      <c r="E65" s="600"/>
      <c r="F65" s="601"/>
      <c r="G65" s="602"/>
      <c r="H65" s="357" t="str">
        <f t="shared" si="6"/>
        <v>NÃO</v>
      </c>
      <c r="I65" s="357" t="s">
        <v>18</v>
      </c>
      <c r="J65" s="357" t="s">
        <v>18</v>
      </c>
      <c r="K65" s="357" t="s">
        <v>18</v>
      </c>
      <c r="L65" s="357" t="s">
        <v>18</v>
      </c>
      <c r="M65" s="357" t="s">
        <v>18</v>
      </c>
      <c r="N65" s="357" t="s">
        <v>18</v>
      </c>
      <c r="O65" s="357" t="s">
        <v>18</v>
      </c>
      <c r="P65" s="357" t="s">
        <v>18</v>
      </c>
      <c r="Q65" s="357" t="s">
        <v>18</v>
      </c>
      <c r="R65" s="357" t="s">
        <v>18</v>
      </c>
      <c r="S65" s="357" t="s">
        <v>18</v>
      </c>
      <c r="T65" s="357" t="s">
        <v>18</v>
      </c>
      <c r="U65" s="357" t="s">
        <v>18</v>
      </c>
      <c r="V65" s="357" t="s">
        <v>22</v>
      </c>
      <c r="W65" s="357" t="s">
        <v>18</v>
      </c>
      <c r="X65" s="357" t="s">
        <v>18</v>
      </c>
      <c r="Y65" s="357" t="s">
        <v>18</v>
      </c>
      <c r="Z65" s="357" t="str">
        <f>$I$63</f>
        <v>NÃO</v>
      </c>
      <c r="AA65" s="357" t="str">
        <f>$H$62</f>
        <v>NÃO</v>
      </c>
      <c r="AB65" s="357" t="s">
        <v>18</v>
      </c>
      <c r="AC65" s="358">
        <f t="shared" si="3"/>
        <v>0</v>
      </c>
      <c r="AD65" s="358">
        <f t="shared" si="4"/>
        <v>0</v>
      </c>
      <c r="AE65" s="342">
        <f t="shared" si="5"/>
        <v>1</v>
      </c>
    </row>
    <row r="66" spans="1:31" ht="30.75" customHeight="1">
      <c r="A66" s="341" t="s">
        <v>547</v>
      </c>
      <c r="B66" s="368" t="s">
        <v>548</v>
      </c>
      <c r="C66" s="368" t="s">
        <v>487</v>
      </c>
      <c r="D66" s="358">
        <v>0.10416666666666667</v>
      </c>
      <c r="E66" s="358">
        <v>0</v>
      </c>
      <c r="F66" s="360">
        <v>0</v>
      </c>
      <c r="G66" s="359">
        <v>0.16666666666666699</v>
      </c>
      <c r="H66" s="357" t="str">
        <f t="shared" si="6"/>
        <v>NÃO</v>
      </c>
      <c r="I66" s="357" t="s">
        <v>18</v>
      </c>
      <c r="J66" s="357" t="s">
        <v>18</v>
      </c>
      <c r="K66" s="357" t="s">
        <v>18</v>
      </c>
      <c r="L66" s="357" t="s">
        <v>18</v>
      </c>
      <c r="M66" s="357" t="s">
        <v>18</v>
      </c>
      <c r="N66" s="357" t="s">
        <v>18</v>
      </c>
      <c r="O66" s="357" t="s">
        <v>18</v>
      </c>
      <c r="P66" s="357" t="s">
        <v>18</v>
      </c>
      <c r="Q66" s="357" t="s">
        <v>18</v>
      </c>
      <c r="R66" s="357" t="s">
        <v>18</v>
      </c>
      <c r="S66" s="357" t="s">
        <v>18</v>
      </c>
      <c r="T66" s="357" t="s">
        <v>18</v>
      </c>
      <c r="U66" s="357" t="s">
        <v>18</v>
      </c>
      <c r="V66" s="357" t="s">
        <v>22</v>
      </c>
      <c r="W66" s="357" t="s">
        <v>18</v>
      </c>
      <c r="X66" s="357" t="s">
        <v>18</v>
      </c>
      <c r="Y66" s="357" t="s">
        <v>18</v>
      </c>
      <c r="Z66" s="357" t="str">
        <f>$I$63</f>
        <v>NÃO</v>
      </c>
      <c r="AA66" s="357" t="str">
        <f>$H$62</f>
        <v>NÃO</v>
      </c>
      <c r="AB66" s="357" t="s">
        <v>18</v>
      </c>
      <c r="AC66" s="358">
        <f t="shared" si="3"/>
        <v>0.10416666666666667</v>
      </c>
      <c r="AD66" s="358">
        <f t="shared" si="4"/>
        <v>0.16666666666666699</v>
      </c>
      <c r="AE66" s="342">
        <f t="shared" si="5"/>
        <v>1</v>
      </c>
    </row>
    <row r="67" spans="1:31" ht="30.75" customHeight="1">
      <c r="A67" s="341" t="s">
        <v>549</v>
      </c>
      <c r="B67" s="368" t="s">
        <v>550</v>
      </c>
      <c r="C67" s="368" t="s">
        <v>487</v>
      </c>
      <c r="D67" s="358">
        <v>0</v>
      </c>
      <c r="E67" s="358">
        <v>0</v>
      </c>
      <c r="F67" s="360">
        <v>0</v>
      </c>
      <c r="G67" s="359">
        <v>0.16666666666666699</v>
      </c>
      <c r="H67" s="357" t="str">
        <f t="shared" si="6"/>
        <v>NÃO</v>
      </c>
      <c r="I67" s="357" t="s">
        <v>18</v>
      </c>
      <c r="J67" s="357" t="s">
        <v>18</v>
      </c>
      <c r="K67" s="357" t="s">
        <v>18</v>
      </c>
      <c r="L67" s="357" t="s">
        <v>18</v>
      </c>
      <c r="M67" s="357" t="s">
        <v>18</v>
      </c>
      <c r="N67" s="357" t="s">
        <v>18</v>
      </c>
      <c r="O67" s="357" t="s">
        <v>18</v>
      </c>
      <c r="P67" s="357" t="s">
        <v>18</v>
      </c>
      <c r="Q67" s="357" t="s">
        <v>18</v>
      </c>
      <c r="R67" s="357" t="s">
        <v>18</v>
      </c>
      <c r="S67" s="357" t="s">
        <v>18</v>
      </c>
      <c r="T67" s="357" t="s">
        <v>18</v>
      </c>
      <c r="U67" s="357" t="s">
        <v>18</v>
      </c>
      <c r="V67" s="357" t="s">
        <v>22</v>
      </c>
      <c r="W67" s="357" t="s">
        <v>18</v>
      </c>
      <c r="X67" s="357" t="s">
        <v>18</v>
      </c>
      <c r="Y67" s="357" t="s">
        <v>18</v>
      </c>
      <c r="Z67" s="357" t="str">
        <f>$I$64</f>
        <v>NÃO</v>
      </c>
      <c r="AA67" s="357" t="str">
        <f>$H$63</f>
        <v>NÃO</v>
      </c>
      <c r="AB67" s="357" t="s">
        <v>18</v>
      </c>
      <c r="AC67" s="359">
        <f t="shared" ref="AC67:AC98" si="7">IF(COUNTIFS($H$1:$AB$1,"x",H67:AB67,"SIM")&gt;0,(D67+E67+F67),0)</f>
        <v>0</v>
      </c>
      <c r="AD67" s="358">
        <f t="shared" ref="AD67:AD98" si="8">IF(COUNTIFS($H$1:$AB$1,"x",H67:AB67,"SIM")&gt;0,G67,0)</f>
        <v>0.16666666666666699</v>
      </c>
      <c r="AE67" s="342">
        <f t="shared" ref="AE67:AE98" si="9">COUNTIFS(H67:AB67,"SIM")</f>
        <v>1</v>
      </c>
    </row>
    <row r="68" spans="1:31" ht="15.75" customHeight="1">
      <c r="A68" s="341" t="s">
        <v>551</v>
      </c>
      <c r="B68" s="368" t="s">
        <v>552</v>
      </c>
      <c r="C68" s="368" t="s">
        <v>553</v>
      </c>
      <c r="D68" s="358">
        <v>6.9444444444444397E-3</v>
      </c>
      <c r="E68" s="358">
        <v>2.0833333333333301E-2</v>
      </c>
      <c r="F68" s="360">
        <v>1.38888888888889E-2</v>
      </c>
      <c r="G68" s="359">
        <v>6.9444444444444397E-3</v>
      </c>
      <c r="H68" s="357" t="str">
        <f t="shared" si="6"/>
        <v>NÃO</v>
      </c>
      <c r="I68" s="357" t="s">
        <v>18</v>
      </c>
      <c r="J68" s="357" t="s">
        <v>18</v>
      </c>
      <c r="K68" s="357" t="s">
        <v>18</v>
      </c>
      <c r="L68" s="357" t="s">
        <v>18</v>
      </c>
      <c r="M68" s="357" t="s">
        <v>18</v>
      </c>
      <c r="N68" s="357" t="s">
        <v>18</v>
      </c>
      <c r="O68" s="357" t="s">
        <v>18</v>
      </c>
      <c r="P68" s="357" t="s">
        <v>18</v>
      </c>
      <c r="Q68" s="357" t="s">
        <v>18</v>
      </c>
      <c r="R68" s="357" t="s">
        <v>18</v>
      </c>
      <c r="S68" s="357" t="s">
        <v>18</v>
      </c>
      <c r="T68" s="357" t="s">
        <v>18</v>
      </c>
      <c r="U68" s="357" t="s">
        <v>18</v>
      </c>
      <c r="V68" s="357" t="s">
        <v>22</v>
      </c>
      <c r="W68" s="357" t="s">
        <v>18</v>
      </c>
      <c r="X68" s="357" t="s">
        <v>18</v>
      </c>
      <c r="Y68" s="357" t="s">
        <v>18</v>
      </c>
      <c r="Z68" s="357" t="str">
        <f t="shared" ref="Z68:Z111" si="10">$I$63</f>
        <v>NÃO</v>
      </c>
      <c r="AA68" s="357" t="str">
        <f t="shared" ref="AA68:AA109" si="11">$H$62</f>
        <v>NÃO</v>
      </c>
      <c r="AB68" s="357" t="s">
        <v>18</v>
      </c>
      <c r="AC68" s="358">
        <f t="shared" si="7"/>
        <v>4.1666666666666644E-2</v>
      </c>
      <c r="AD68" s="358">
        <f t="shared" si="8"/>
        <v>6.9444444444444397E-3</v>
      </c>
      <c r="AE68" s="342">
        <f t="shared" si="9"/>
        <v>1</v>
      </c>
    </row>
    <row r="69" spans="1:31" ht="15.75" customHeight="1">
      <c r="A69" s="594" t="s">
        <v>554</v>
      </c>
      <c r="B69" s="368" t="s">
        <v>555</v>
      </c>
      <c r="C69" s="368" t="s">
        <v>553</v>
      </c>
      <c r="D69" s="595">
        <v>0.25</v>
      </c>
      <c r="E69" s="595">
        <v>0</v>
      </c>
      <c r="F69" s="596">
        <v>0</v>
      </c>
      <c r="G69" s="597">
        <v>0.118055555555556</v>
      </c>
      <c r="H69" s="357" t="str">
        <f t="shared" si="6"/>
        <v>NÃO</v>
      </c>
      <c r="I69" s="357" t="s">
        <v>18</v>
      </c>
      <c r="J69" s="357" t="s">
        <v>18</v>
      </c>
      <c r="K69" s="357" t="s">
        <v>18</v>
      </c>
      <c r="L69" s="357" t="s">
        <v>22</v>
      </c>
      <c r="M69" s="357" t="s">
        <v>18</v>
      </c>
      <c r="N69" s="357" t="s">
        <v>18</v>
      </c>
      <c r="O69" s="357" t="s">
        <v>18</v>
      </c>
      <c r="P69" s="357" t="s">
        <v>18</v>
      </c>
      <c r="Q69" s="357" t="s">
        <v>18</v>
      </c>
      <c r="R69" s="357" t="s">
        <v>18</v>
      </c>
      <c r="S69" s="357" t="s">
        <v>18</v>
      </c>
      <c r="T69" s="357" t="s">
        <v>18</v>
      </c>
      <c r="U69" s="357" t="s">
        <v>18</v>
      </c>
      <c r="V69" s="357" t="s">
        <v>22</v>
      </c>
      <c r="W69" s="357" t="s">
        <v>18</v>
      </c>
      <c r="X69" s="357" t="s">
        <v>18</v>
      </c>
      <c r="Y69" s="357" t="s">
        <v>18</v>
      </c>
      <c r="Z69" s="357" t="str">
        <f t="shared" si="10"/>
        <v>NÃO</v>
      </c>
      <c r="AA69" s="357" t="str">
        <f t="shared" si="11"/>
        <v>NÃO</v>
      </c>
      <c r="AB69" s="357" t="s">
        <v>18</v>
      </c>
      <c r="AC69" s="358">
        <f t="shared" si="7"/>
        <v>0.25</v>
      </c>
      <c r="AD69" s="358">
        <f t="shared" si="8"/>
        <v>0.118055555555556</v>
      </c>
      <c r="AE69" s="342">
        <f t="shared" si="9"/>
        <v>2</v>
      </c>
    </row>
    <row r="70" spans="1:31" ht="15.75" customHeight="1">
      <c r="A70" s="594"/>
      <c r="B70" s="368" t="s">
        <v>556</v>
      </c>
      <c r="C70" s="368" t="s">
        <v>553</v>
      </c>
      <c r="D70" s="595"/>
      <c r="E70" s="595"/>
      <c r="F70" s="596"/>
      <c r="G70" s="597"/>
      <c r="H70" s="357" t="str">
        <f t="shared" si="6"/>
        <v>NÃO</v>
      </c>
      <c r="I70" s="357" t="s">
        <v>18</v>
      </c>
      <c r="J70" s="357" t="s">
        <v>18</v>
      </c>
      <c r="K70" s="357" t="s">
        <v>18</v>
      </c>
      <c r="L70" s="357" t="s">
        <v>22</v>
      </c>
      <c r="M70" s="357" t="s">
        <v>18</v>
      </c>
      <c r="N70" s="357" t="s">
        <v>18</v>
      </c>
      <c r="O70" s="357" t="s">
        <v>18</v>
      </c>
      <c r="P70" s="357" t="s">
        <v>18</v>
      </c>
      <c r="Q70" s="357" t="s">
        <v>18</v>
      </c>
      <c r="R70" s="357" t="s">
        <v>18</v>
      </c>
      <c r="S70" s="357" t="s">
        <v>18</v>
      </c>
      <c r="T70" s="357" t="s">
        <v>18</v>
      </c>
      <c r="U70" s="357" t="s">
        <v>18</v>
      </c>
      <c r="V70" s="357" t="s">
        <v>22</v>
      </c>
      <c r="W70" s="357" t="s">
        <v>18</v>
      </c>
      <c r="X70" s="357" t="s">
        <v>18</v>
      </c>
      <c r="Y70" s="357" t="s">
        <v>18</v>
      </c>
      <c r="Z70" s="357" t="str">
        <f t="shared" si="10"/>
        <v>NÃO</v>
      </c>
      <c r="AA70" s="357" t="str">
        <f t="shared" si="11"/>
        <v>NÃO</v>
      </c>
      <c r="AB70" s="357" t="s">
        <v>18</v>
      </c>
      <c r="AC70" s="358">
        <f t="shared" si="7"/>
        <v>0</v>
      </c>
      <c r="AD70" s="358">
        <f t="shared" si="8"/>
        <v>0</v>
      </c>
      <c r="AE70" s="342">
        <f t="shared" si="9"/>
        <v>2</v>
      </c>
    </row>
    <row r="71" spans="1:31" ht="15.75" customHeight="1">
      <c r="A71" s="594"/>
      <c r="B71" s="368" t="s">
        <v>557</v>
      </c>
      <c r="C71" s="368" t="s">
        <v>553</v>
      </c>
      <c r="D71" s="595"/>
      <c r="E71" s="595"/>
      <c r="F71" s="596"/>
      <c r="G71" s="597"/>
      <c r="H71" s="357" t="str">
        <f t="shared" si="6"/>
        <v>NÃO</v>
      </c>
      <c r="I71" s="357" t="s">
        <v>18</v>
      </c>
      <c r="J71" s="357" t="s">
        <v>18</v>
      </c>
      <c r="K71" s="357" t="s">
        <v>18</v>
      </c>
      <c r="L71" s="357" t="s">
        <v>22</v>
      </c>
      <c r="M71" s="357" t="s">
        <v>18</v>
      </c>
      <c r="N71" s="357" t="s">
        <v>18</v>
      </c>
      <c r="O71" s="357" t="s">
        <v>18</v>
      </c>
      <c r="P71" s="357" t="s">
        <v>18</v>
      </c>
      <c r="Q71" s="357" t="s">
        <v>18</v>
      </c>
      <c r="R71" s="357" t="s">
        <v>18</v>
      </c>
      <c r="S71" s="357" t="s">
        <v>18</v>
      </c>
      <c r="T71" s="357" t="s">
        <v>18</v>
      </c>
      <c r="U71" s="357" t="s">
        <v>18</v>
      </c>
      <c r="V71" s="357" t="s">
        <v>22</v>
      </c>
      <c r="W71" s="357" t="s">
        <v>18</v>
      </c>
      <c r="X71" s="357" t="s">
        <v>18</v>
      </c>
      <c r="Y71" s="357" t="s">
        <v>18</v>
      </c>
      <c r="Z71" s="357" t="str">
        <f t="shared" si="10"/>
        <v>NÃO</v>
      </c>
      <c r="AA71" s="357" t="str">
        <f t="shared" si="11"/>
        <v>NÃO</v>
      </c>
      <c r="AB71" s="357" t="s">
        <v>18</v>
      </c>
      <c r="AC71" s="358">
        <f t="shared" si="7"/>
        <v>0</v>
      </c>
      <c r="AD71" s="358">
        <f t="shared" si="8"/>
        <v>0</v>
      </c>
      <c r="AE71" s="342">
        <f t="shared" si="9"/>
        <v>2</v>
      </c>
    </row>
    <row r="72" spans="1:31" ht="15.75" customHeight="1">
      <c r="A72" s="594"/>
      <c r="B72" s="368" t="s">
        <v>558</v>
      </c>
      <c r="C72" s="368" t="s">
        <v>553</v>
      </c>
      <c r="D72" s="595"/>
      <c r="E72" s="595"/>
      <c r="F72" s="596"/>
      <c r="G72" s="597"/>
      <c r="H72" s="357" t="str">
        <f t="shared" si="6"/>
        <v>NÃO</v>
      </c>
      <c r="I72" s="357" t="s">
        <v>18</v>
      </c>
      <c r="J72" s="357" t="s">
        <v>18</v>
      </c>
      <c r="K72" s="357" t="s">
        <v>18</v>
      </c>
      <c r="L72" s="357" t="s">
        <v>22</v>
      </c>
      <c r="M72" s="357" t="s">
        <v>18</v>
      </c>
      <c r="N72" s="357" t="s">
        <v>18</v>
      </c>
      <c r="O72" s="357" t="s">
        <v>18</v>
      </c>
      <c r="P72" s="357" t="s">
        <v>18</v>
      </c>
      <c r="Q72" s="357" t="s">
        <v>18</v>
      </c>
      <c r="R72" s="357" t="s">
        <v>18</v>
      </c>
      <c r="S72" s="357" t="s">
        <v>18</v>
      </c>
      <c r="T72" s="357" t="s">
        <v>18</v>
      </c>
      <c r="U72" s="357" t="s">
        <v>18</v>
      </c>
      <c r="V72" s="357" t="s">
        <v>22</v>
      </c>
      <c r="W72" s="357" t="s">
        <v>18</v>
      </c>
      <c r="X72" s="357" t="s">
        <v>18</v>
      </c>
      <c r="Y72" s="357" t="s">
        <v>18</v>
      </c>
      <c r="Z72" s="357" t="str">
        <f t="shared" si="10"/>
        <v>NÃO</v>
      </c>
      <c r="AA72" s="357" t="str">
        <f t="shared" si="11"/>
        <v>NÃO</v>
      </c>
      <c r="AB72" s="357" t="s">
        <v>18</v>
      </c>
      <c r="AC72" s="358">
        <f t="shared" si="7"/>
        <v>0</v>
      </c>
      <c r="AD72" s="358">
        <f t="shared" si="8"/>
        <v>0</v>
      </c>
      <c r="AE72" s="342">
        <f t="shared" si="9"/>
        <v>2</v>
      </c>
    </row>
    <row r="73" spans="1:31" ht="15.75" customHeight="1">
      <c r="A73" s="594"/>
      <c r="B73" s="368" t="s">
        <v>559</v>
      </c>
      <c r="C73" s="368" t="s">
        <v>553</v>
      </c>
      <c r="D73" s="595"/>
      <c r="E73" s="595"/>
      <c r="F73" s="596"/>
      <c r="G73" s="597"/>
      <c r="H73" s="357" t="str">
        <f t="shared" si="6"/>
        <v>NÃO</v>
      </c>
      <c r="I73" s="357" t="s">
        <v>18</v>
      </c>
      <c r="J73" s="357" t="s">
        <v>18</v>
      </c>
      <c r="K73" s="357" t="s">
        <v>18</v>
      </c>
      <c r="L73" s="357" t="s">
        <v>22</v>
      </c>
      <c r="M73" s="357" t="s">
        <v>18</v>
      </c>
      <c r="N73" s="357" t="s">
        <v>18</v>
      </c>
      <c r="O73" s="357" t="s">
        <v>18</v>
      </c>
      <c r="P73" s="357" t="s">
        <v>18</v>
      </c>
      <c r="Q73" s="357" t="s">
        <v>18</v>
      </c>
      <c r="R73" s="357" t="s">
        <v>18</v>
      </c>
      <c r="S73" s="357" t="s">
        <v>18</v>
      </c>
      <c r="T73" s="357" t="s">
        <v>18</v>
      </c>
      <c r="U73" s="357" t="s">
        <v>18</v>
      </c>
      <c r="V73" s="357" t="s">
        <v>22</v>
      </c>
      <c r="W73" s="357" t="s">
        <v>18</v>
      </c>
      <c r="X73" s="357" t="s">
        <v>18</v>
      </c>
      <c r="Y73" s="357" t="s">
        <v>18</v>
      </c>
      <c r="Z73" s="357" t="str">
        <f t="shared" si="10"/>
        <v>NÃO</v>
      </c>
      <c r="AA73" s="357" t="str">
        <f t="shared" si="11"/>
        <v>NÃO</v>
      </c>
      <c r="AB73" s="357" t="s">
        <v>18</v>
      </c>
      <c r="AC73" s="358">
        <f t="shared" si="7"/>
        <v>0</v>
      </c>
      <c r="AD73" s="358">
        <f t="shared" si="8"/>
        <v>0</v>
      </c>
      <c r="AE73" s="342">
        <f t="shared" si="9"/>
        <v>2</v>
      </c>
    </row>
    <row r="74" spans="1:31" ht="15.75" customHeight="1">
      <c r="A74" s="594"/>
      <c r="B74" s="368" t="s">
        <v>560</v>
      </c>
      <c r="C74" s="368" t="s">
        <v>553</v>
      </c>
      <c r="D74" s="595"/>
      <c r="E74" s="595"/>
      <c r="F74" s="596"/>
      <c r="G74" s="597"/>
      <c r="H74" s="357" t="str">
        <f t="shared" si="6"/>
        <v>NÃO</v>
      </c>
      <c r="I74" s="357" t="s">
        <v>18</v>
      </c>
      <c r="J74" s="357" t="s">
        <v>18</v>
      </c>
      <c r="K74" s="357" t="s">
        <v>18</v>
      </c>
      <c r="L74" s="357" t="s">
        <v>22</v>
      </c>
      <c r="M74" s="357" t="s">
        <v>18</v>
      </c>
      <c r="N74" s="357" t="s">
        <v>18</v>
      </c>
      <c r="O74" s="357" t="s">
        <v>18</v>
      </c>
      <c r="P74" s="357" t="s">
        <v>18</v>
      </c>
      <c r="Q74" s="357" t="s">
        <v>18</v>
      </c>
      <c r="R74" s="357" t="s">
        <v>18</v>
      </c>
      <c r="S74" s="357" t="s">
        <v>18</v>
      </c>
      <c r="T74" s="357" t="s">
        <v>18</v>
      </c>
      <c r="U74" s="357" t="s">
        <v>18</v>
      </c>
      <c r="V74" s="357" t="s">
        <v>22</v>
      </c>
      <c r="W74" s="357" t="s">
        <v>18</v>
      </c>
      <c r="X74" s="357" t="s">
        <v>18</v>
      </c>
      <c r="Y74" s="357" t="s">
        <v>18</v>
      </c>
      <c r="Z74" s="357" t="str">
        <f t="shared" si="10"/>
        <v>NÃO</v>
      </c>
      <c r="AA74" s="357" t="str">
        <f t="shared" si="11"/>
        <v>NÃO</v>
      </c>
      <c r="AB74" s="357" t="s">
        <v>18</v>
      </c>
      <c r="AC74" s="358">
        <f t="shared" si="7"/>
        <v>0</v>
      </c>
      <c r="AD74" s="358">
        <f t="shared" si="8"/>
        <v>0</v>
      </c>
      <c r="AE74" s="342">
        <f t="shared" si="9"/>
        <v>2</v>
      </c>
    </row>
    <row r="75" spans="1:31" ht="15.75" customHeight="1">
      <c r="A75" s="594"/>
      <c r="B75" s="366" t="s">
        <v>561</v>
      </c>
      <c r="C75" s="368" t="s">
        <v>553</v>
      </c>
      <c r="D75" s="595"/>
      <c r="E75" s="595"/>
      <c r="F75" s="596"/>
      <c r="G75" s="597"/>
      <c r="H75" s="357" t="str">
        <f t="shared" si="6"/>
        <v>NÃO</v>
      </c>
      <c r="I75" s="357" t="s">
        <v>18</v>
      </c>
      <c r="J75" s="357" t="s">
        <v>18</v>
      </c>
      <c r="K75" s="357" t="s">
        <v>18</v>
      </c>
      <c r="L75" s="357" t="s">
        <v>22</v>
      </c>
      <c r="M75" s="357" t="s">
        <v>18</v>
      </c>
      <c r="N75" s="357" t="s">
        <v>18</v>
      </c>
      <c r="O75" s="357" t="s">
        <v>18</v>
      </c>
      <c r="P75" s="357" t="s">
        <v>18</v>
      </c>
      <c r="Q75" s="357" t="s">
        <v>18</v>
      </c>
      <c r="R75" s="357" t="s">
        <v>18</v>
      </c>
      <c r="S75" s="357" t="s">
        <v>18</v>
      </c>
      <c r="T75" s="357" t="s">
        <v>18</v>
      </c>
      <c r="U75" s="357" t="s">
        <v>18</v>
      </c>
      <c r="V75" s="357" t="s">
        <v>22</v>
      </c>
      <c r="W75" s="357" t="s">
        <v>18</v>
      </c>
      <c r="X75" s="357" t="s">
        <v>18</v>
      </c>
      <c r="Y75" s="357" t="s">
        <v>18</v>
      </c>
      <c r="Z75" s="357" t="str">
        <f t="shared" si="10"/>
        <v>NÃO</v>
      </c>
      <c r="AA75" s="357" t="str">
        <f t="shared" si="11"/>
        <v>NÃO</v>
      </c>
      <c r="AB75" s="357" t="s">
        <v>18</v>
      </c>
      <c r="AC75" s="358">
        <f t="shared" si="7"/>
        <v>0</v>
      </c>
      <c r="AD75" s="358">
        <f t="shared" si="8"/>
        <v>0</v>
      </c>
      <c r="AE75" s="342">
        <f t="shared" si="9"/>
        <v>2</v>
      </c>
    </row>
    <row r="76" spans="1:31" ht="15.75" customHeight="1">
      <c r="B76" s="367" t="s">
        <v>562</v>
      </c>
      <c r="C76" s="368" t="s">
        <v>553</v>
      </c>
      <c r="D76" s="370"/>
      <c r="E76" s="370"/>
      <c r="F76" s="371"/>
      <c r="G76" s="372"/>
      <c r="H76" s="357" t="str">
        <f t="shared" ref="H76:H111" si="12">$H$41</f>
        <v>NÃO</v>
      </c>
      <c r="I76" s="357" t="s">
        <v>18</v>
      </c>
      <c r="J76" s="357" t="s">
        <v>18</v>
      </c>
      <c r="K76" s="357" t="s">
        <v>18</v>
      </c>
      <c r="L76" s="357" t="s">
        <v>22</v>
      </c>
      <c r="M76" s="357" t="s">
        <v>18</v>
      </c>
      <c r="N76" s="357" t="s">
        <v>18</v>
      </c>
      <c r="O76" s="357" t="s">
        <v>18</v>
      </c>
      <c r="P76" s="357" t="s">
        <v>18</v>
      </c>
      <c r="Q76" s="357" t="s">
        <v>18</v>
      </c>
      <c r="R76" s="357" t="s">
        <v>18</v>
      </c>
      <c r="S76" s="357" t="s">
        <v>18</v>
      </c>
      <c r="T76" s="357" t="s">
        <v>18</v>
      </c>
      <c r="U76" s="357" t="s">
        <v>18</v>
      </c>
      <c r="V76" s="357" t="s">
        <v>22</v>
      </c>
      <c r="W76" s="357" t="s">
        <v>18</v>
      </c>
      <c r="X76" s="357" t="s">
        <v>18</v>
      </c>
      <c r="Y76" s="357" t="s">
        <v>18</v>
      </c>
      <c r="Z76" s="357" t="str">
        <f t="shared" si="10"/>
        <v>NÃO</v>
      </c>
      <c r="AA76" s="357" t="str">
        <f t="shared" si="11"/>
        <v>NÃO</v>
      </c>
      <c r="AB76" s="357" t="s">
        <v>18</v>
      </c>
      <c r="AC76" s="358">
        <f t="shared" si="7"/>
        <v>0</v>
      </c>
      <c r="AD76" s="358">
        <f t="shared" si="8"/>
        <v>0</v>
      </c>
      <c r="AE76" s="342">
        <f t="shared" si="9"/>
        <v>2</v>
      </c>
    </row>
    <row r="77" spans="1:31" ht="15.75" customHeight="1">
      <c r="A77" s="341" t="s">
        <v>563</v>
      </c>
      <c r="B77" s="368" t="s">
        <v>564</v>
      </c>
      <c r="C77" s="368" t="s">
        <v>553</v>
      </c>
      <c r="D77" s="358">
        <v>6.9444444444444397E-3</v>
      </c>
      <c r="E77" s="358">
        <v>1.38888888888889E-2</v>
      </c>
      <c r="F77" s="360">
        <v>1.38888888888889E-2</v>
      </c>
      <c r="G77" s="359">
        <v>6.9444444444444397E-3</v>
      </c>
      <c r="H77" s="357" t="str">
        <f t="shared" si="12"/>
        <v>NÃO</v>
      </c>
      <c r="I77" s="357" t="s">
        <v>18</v>
      </c>
      <c r="J77" s="357" t="s">
        <v>18</v>
      </c>
      <c r="K77" s="357" t="s">
        <v>18</v>
      </c>
      <c r="L77" s="357" t="s">
        <v>22</v>
      </c>
      <c r="M77" s="357" t="s">
        <v>18</v>
      </c>
      <c r="N77" s="357" t="s">
        <v>18</v>
      </c>
      <c r="O77" s="357" t="s">
        <v>18</v>
      </c>
      <c r="P77" s="357" t="s">
        <v>18</v>
      </c>
      <c r="Q77" s="357" t="s">
        <v>18</v>
      </c>
      <c r="R77" s="357" t="s">
        <v>18</v>
      </c>
      <c r="S77" s="357" t="s">
        <v>18</v>
      </c>
      <c r="T77" s="357" t="s">
        <v>18</v>
      </c>
      <c r="U77" s="357" t="s">
        <v>18</v>
      </c>
      <c r="V77" s="357" t="s">
        <v>22</v>
      </c>
      <c r="W77" s="357" t="s">
        <v>18</v>
      </c>
      <c r="X77" s="357" t="s">
        <v>18</v>
      </c>
      <c r="Y77" s="357" t="s">
        <v>18</v>
      </c>
      <c r="Z77" s="357" t="str">
        <f t="shared" si="10"/>
        <v>NÃO</v>
      </c>
      <c r="AA77" s="357" t="str">
        <f t="shared" si="11"/>
        <v>NÃO</v>
      </c>
      <c r="AB77" s="357" t="s">
        <v>18</v>
      </c>
      <c r="AC77" s="358">
        <f t="shared" si="7"/>
        <v>3.4722222222222238E-2</v>
      </c>
      <c r="AD77" s="358">
        <f t="shared" si="8"/>
        <v>6.9444444444444397E-3</v>
      </c>
      <c r="AE77" s="342">
        <f t="shared" si="9"/>
        <v>2</v>
      </c>
    </row>
    <row r="78" spans="1:31" ht="15.75" customHeight="1">
      <c r="A78" s="341" t="s">
        <v>565</v>
      </c>
      <c r="B78" s="368" t="s">
        <v>566</v>
      </c>
      <c r="C78" s="368" t="s">
        <v>553</v>
      </c>
      <c r="D78" s="358">
        <v>6.9444444444444397E-3</v>
      </c>
      <c r="E78" s="358">
        <v>3.4722222222222199E-3</v>
      </c>
      <c r="F78" s="360">
        <v>3.4722222222222199E-3</v>
      </c>
      <c r="G78" s="359">
        <v>1.38888888888889E-2</v>
      </c>
      <c r="H78" s="357" t="str">
        <f t="shared" si="12"/>
        <v>NÃO</v>
      </c>
      <c r="I78" s="357" t="s">
        <v>18</v>
      </c>
      <c r="J78" s="357" t="s">
        <v>18</v>
      </c>
      <c r="K78" s="357" t="s">
        <v>18</v>
      </c>
      <c r="L78" s="357" t="s">
        <v>22</v>
      </c>
      <c r="M78" s="357" t="s">
        <v>18</v>
      </c>
      <c r="N78" s="357" t="s">
        <v>18</v>
      </c>
      <c r="O78" s="357" t="s">
        <v>18</v>
      </c>
      <c r="P78" s="357" t="s">
        <v>18</v>
      </c>
      <c r="Q78" s="357" t="s">
        <v>18</v>
      </c>
      <c r="R78" s="357" t="s">
        <v>18</v>
      </c>
      <c r="S78" s="357" t="s">
        <v>18</v>
      </c>
      <c r="T78" s="357" t="s">
        <v>18</v>
      </c>
      <c r="U78" s="357" t="s">
        <v>18</v>
      </c>
      <c r="V78" s="357" t="s">
        <v>22</v>
      </c>
      <c r="W78" s="357" t="s">
        <v>18</v>
      </c>
      <c r="X78" s="357" t="s">
        <v>18</v>
      </c>
      <c r="Y78" s="357" t="s">
        <v>18</v>
      </c>
      <c r="Z78" s="357" t="str">
        <f t="shared" si="10"/>
        <v>NÃO</v>
      </c>
      <c r="AA78" s="357" t="str">
        <f t="shared" si="11"/>
        <v>NÃO</v>
      </c>
      <c r="AB78" s="357" t="s">
        <v>18</v>
      </c>
      <c r="AC78" s="358">
        <f t="shared" si="7"/>
        <v>1.3888888888888879E-2</v>
      </c>
      <c r="AD78" s="358">
        <f t="shared" si="8"/>
        <v>1.38888888888889E-2</v>
      </c>
      <c r="AE78" s="342">
        <f t="shared" si="9"/>
        <v>2</v>
      </c>
    </row>
    <row r="79" spans="1:31" ht="45" customHeight="1">
      <c r="A79" s="341" t="s">
        <v>567</v>
      </c>
      <c r="B79" s="368" t="s">
        <v>568</v>
      </c>
      <c r="C79" s="368" t="s">
        <v>553</v>
      </c>
      <c r="D79" s="358">
        <v>6.9444444444444397E-3</v>
      </c>
      <c r="E79" s="358">
        <v>6.9444444444444397E-3</v>
      </c>
      <c r="F79" s="360">
        <v>3.4722222222222199E-3</v>
      </c>
      <c r="G79" s="359">
        <v>1.38888888888889E-2</v>
      </c>
      <c r="H79" s="357" t="str">
        <f t="shared" si="12"/>
        <v>NÃO</v>
      </c>
      <c r="I79" s="357" t="s">
        <v>18</v>
      </c>
      <c r="J79" s="357" t="s">
        <v>18</v>
      </c>
      <c r="K79" s="357" t="s">
        <v>18</v>
      </c>
      <c r="L79" s="357" t="s">
        <v>22</v>
      </c>
      <c r="M79" s="357" t="s">
        <v>18</v>
      </c>
      <c r="N79" s="357" t="s">
        <v>18</v>
      </c>
      <c r="O79" s="357" t="s">
        <v>18</v>
      </c>
      <c r="P79" s="357" t="s">
        <v>18</v>
      </c>
      <c r="Q79" s="357" t="s">
        <v>18</v>
      </c>
      <c r="R79" s="357" t="s">
        <v>18</v>
      </c>
      <c r="S79" s="357" t="s">
        <v>18</v>
      </c>
      <c r="T79" s="357" t="s">
        <v>18</v>
      </c>
      <c r="U79" s="357" t="s">
        <v>18</v>
      </c>
      <c r="V79" s="357" t="s">
        <v>22</v>
      </c>
      <c r="W79" s="357" t="s">
        <v>18</v>
      </c>
      <c r="X79" s="357" t="s">
        <v>18</v>
      </c>
      <c r="Y79" s="357" t="s">
        <v>18</v>
      </c>
      <c r="Z79" s="357" t="str">
        <f t="shared" si="10"/>
        <v>NÃO</v>
      </c>
      <c r="AA79" s="357" t="str">
        <f t="shared" si="11"/>
        <v>NÃO</v>
      </c>
      <c r="AB79" s="357" t="s">
        <v>18</v>
      </c>
      <c r="AC79" s="358">
        <f t="shared" si="7"/>
        <v>1.7361111111111098E-2</v>
      </c>
      <c r="AD79" s="358">
        <f t="shared" si="8"/>
        <v>1.38888888888889E-2</v>
      </c>
      <c r="AE79" s="342">
        <f t="shared" si="9"/>
        <v>2</v>
      </c>
    </row>
    <row r="80" spans="1:31" ht="15.75" customHeight="1">
      <c r="A80" s="341" t="s">
        <v>569</v>
      </c>
      <c r="B80" s="368" t="s">
        <v>570</v>
      </c>
      <c r="C80" s="368" t="s">
        <v>553</v>
      </c>
      <c r="D80" s="358">
        <v>6.9444444444444397E-3</v>
      </c>
      <c r="E80" s="358">
        <v>6.9444444444444397E-3</v>
      </c>
      <c r="F80" s="360">
        <v>6.9444444444444397E-3</v>
      </c>
      <c r="G80" s="359">
        <v>1.38888888888889E-2</v>
      </c>
      <c r="H80" s="357" t="str">
        <f t="shared" si="12"/>
        <v>NÃO</v>
      </c>
      <c r="I80" s="357" t="s">
        <v>18</v>
      </c>
      <c r="J80" s="357" t="s">
        <v>18</v>
      </c>
      <c r="K80" s="357" t="s">
        <v>18</v>
      </c>
      <c r="L80" s="357" t="s">
        <v>22</v>
      </c>
      <c r="M80" s="357" t="s">
        <v>18</v>
      </c>
      <c r="N80" s="357" t="s">
        <v>18</v>
      </c>
      <c r="O80" s="357" t="s">
        <v>18</v>
      </c>
      <c r="P80" s="357" t="s">
        <v>18</v>
      </c>
      <c r="Q80" s="357" t="s">
        <v>18</v>
      </c>
      <c r="R80" s="357" t="s">
        <v>18</v>
      </c>
      <c r="S80" s="357" t="s">
        <v>18</v>
      </c>
      <c r="T80" s="357" t="s">
        <v>18</v>
      </c>
      <c r="U80" s="357" t="s">
        <v>18</v>
      </c>
      <c r="V80" s="357" t="s">
        <v>22</v>
      </c>
      <c r="W80" s="357" t="s">
        <v>18</v>
      </c>
      <c r="X80" s="357" t="s">
        <v>18</v>
      </c>
      <c r="Y80" s="357" t="s">
        <v>18</v>
      </c>
      <c r="Z80" s="357" t="str">
        <f t="shared" si="10"/>
        <v>NÃO</v>
      </c>
      <c r="AA80" s="357" t="str">
        <f t="shared" si="11"/>
        <v>NÃO</v>
      </c>
      <c r="AB80" s="357" t="s">
        <v>18</v>
      </c>
      <c r="AC80" s="358">
        <f t="shared" si="7"/>
        <v>2.0833333333333318E-2</v>
      </c>
      <c r="AD80" s="358">
        <f t="shared" si="8"/>
        <v>1.38888888888889E-2</v>
      </c>
      <c r="AE80" s="342">
        <f t="shared" si="9"/>
        <v>2</v>
      </c>
    </row>
    <row r="81" spans="1:31" ht="15.75" customHeight="1">
      <c r="A81" s="341" t="s">
        <v>571</v>
      </c>
      <c r="B81" s="368" t="s">
        <v>572</v>
      </c>
      <c r="C81" s="368" t="s">
        <v>553</v>
      </c>
      <c r="D81" s="358">
        <v>6.9444444444444397E-3</v>
      </c>
      <c r="E81" s="358">
        <v>6.9444444444444397E-3</v>
      </c>
      <c r="F81" s="360">
        <v>6.9444444444444397E-3</v>
      </c>
      <c r="G81" s="359">
        <v>1.38888888888889E-2</v>
      </c>
      <c r="H81" s="357" t="str">
        <f t="shared" si="12"/>
        <v>NÃO</v>
      </c>
      <c r="I81" s="357" t="s">
        <v>18</v>
      </c>
      <c r="J81" s="357" t="s">
        <v>18</v>
      </c>
      <c r="K81" s="357" t="s">
        <v>18</v>
      </c>
      <c r="L81" s="357" t="str">
        <f t="shared" ref="L81:L111" si="13">$H$62</f>
        <v>NÃO</v>
      </c>
      <c r="M81" s="357" t="s">
        <v>18</v>
      </c>
      <c r="N81" s="357" t="s">
        <v>18</v>
      </c>
      <c r="O81" s="357" t="s">
        <v>18</v>
      </c>
      <c r="P81" s="357" t="s">
        <v>18</v>
      </c>
      <c r="Q81" s="357" t="s">
        <v>18</v>
      </c>
      <c r="R81" s="357" t="s">
        <v>18</v>
      </c>
      <c r="S81" s="357" t="s">
        <v>18</v>
      </c>
      <c r="T81" s="357" t="s">
        <v>18</v>
      </c>
      <c r="U81" s="357" t="s">
        <v>18</v>
      </c>
      <c r="V81" s="357" t="s">
        <v>22</v>
      </c>
      <c r="W81" s="357" t="s">
        <v>18</v>
      </c>
      <c r="X81" s="357" t="s">
        <v>18</v>
      </c>
      <c r="Y81" s="357" t="s">
        <v>18</v>
      </c>
      <c r="Z81" s="357" t="str">
        <f t="shared" si="10"/>
        <v>NÃO</v>
      </c>
      <c r="AA81" s="357" t="str">
        <f t="shared" si="11"/>
        <v>NÃO</v>
      </c>
      <c r="AB81" s="357" t="s">
        <v>18</v>
      </c>
      <c r="AC81" s="358">
        <f t="shared" si="7"/>
        <v>2.0833333333333318E-2</v>
      </c>
      <c r="AD81" s="358">
        <f t="shared" si="8"/>
        <v>1.38888888888889E-2</v>
      </c>
      <c r="AE81" s="342">
        <f t="shared" si="9"/>
        <v>1</v>
      </c>
    </row>
    <row r="82" spans="1:31" ht="15.75" customHeight="1">
      <c r="A82" s="341" t="s">
        <v>573</v>
      </c>
      <c r="B82" s="368" t="s">
        <v>574</v>
      </c>
      <c r="C82" s="368" t="s">
        <v>553</v>
      </c>
      <c r="D82" s="358">
        <v>6.9444444444444397E-3</v>
      </c>
      <c r="E82" s="358">
        <v>6.9444444444444397E-3</v>
      </c>
      <c r="F82" s="360">
        <v>6.9444444444444397E-3</v>
      </c>
      <c r="G82" s="359">
        <v>1.38888888888889E-2</v>
      </c>
      <c r="H82" s="357" t="str">
        <f t="shared" si="12"/>
        <v>NÃO</v>
      </c>
      <c r="I82" s="357" t="s">
        <v>18</v>
      </c>
      <c r="J82" s="357" t="s">
        <v>18</v>
      </c>
      <c r="K82" s="357" t="s">
        <v>18</v>
      </c>
      <c r="L82" s="357" t="str">
        <f t="shared" si="13"/>
        <v>NÃO</v>
      </c>
      <c r="M82" s="357" t="s">
        <v>18</v>
      </c>
      <c r="N82" s="357" t="s">
        <v>18</v>
      </c>
      <c r="O82" s="357" t="s">
        <v>18</v>
      </c>
      <c r="P82" s="357" t="s">
        <v>18</v>
      </c>
      <c r="Q82" s="357" t="s">
        <v>18</v>
      </c>
      <c r="R82" s="357" t="s">
        <v>18</v>
      </c>
      <c r="S82" s="357" t="s">
        <v>18</v>
      </c>
      <c r="T82" s="357" t="s">
        <v>18</v>
      </c>
      <c r="U82" s="357" t="s">
        <v>18</v>
      </c>
      <c r="V82" s="357" t="s">
        <v>22</v>
      </c>
      <c r="W82" s="357" t="s">
        <v>18</v>
      </c>
      <c r="X82" s="357" t="s">
        <v>18</v>
      </c>
      <c r="Y82" s="357" t="s">
        <v>18</v>
      </c>
      <c r="Z82" s="357" t="str">
        <f t="shared" si="10"/>
        <v>NÃO</v>
      </c>
      <c r="AA82" s="357" t="str">
        <f t="shared" si="11"/>
        <v>NÃO</v>
      </c>
      <c r="AB82" s="357" t="s">
        <v>18</v>
      </c>
      <c r="AC82" s="358">
        <f t="shared" si="7"/>
        <v>2.0833333333333318E-2</v>
      </c>
      <c r="AD82" s="358">
        <f t="shared" si="8"/>
        <v>1.38888888888889E-2</v>
      </c>
      <c r="AE82" s="342">
        <f t="shared" si="9"/>
        <v>1</v>
      </c>
    </row>
    <row r="83" spans="1:31" ht="15.75" customHeight="1">
      <c r="A83" s="341" t="s">
        <v>575</v>
      </c>
      <c r="B83" s="368" t="s">
        <v>576</v>
      </c>
      <c r="C83" s="368" t="s">
        <v>553</v>
      </c>
      <c r="D83" s="358">
        <v>6.9444444444444397E-3</v>
      </c>
      <c r="E83" s="358">
        <v>6.9444444444444397E-3</v>
      </c>
      <c r="F83" s="360">
        <v>6.9444444444444397E-3</v>
      </c>
      <c r="G83" s="359">
        <v>1.38888888888889E-2</v>
      </c>
      <c r="H83" s="357" t="str">
        <f t="shared" si="12"/>
        <v>NÃO</v>
      </c>
      <c r="I83" s="357" t="s">
        <v>18</v>
      </c>
      <c r="J83" s="357" t="s">
        <v>18</v>
      </c>
      <c r="K83" s="357" t="s">
        <v>18</v>
      </c>
      <c r="L83" s="357" t="str">
        <f t="shared" si="13"/>
        <v>NÃO</v>
      </c>
      <c r="M83" s="357" t="s">
        <v>18</v>
      </c>
      <c r="N83" s="357" t="s">
        <v>18</v>
      </c>
      <c r="O83" s="357" t="s">
        <v>18</v>
      </c>
      <c r="P83" s="357" t="s">
        <v>18</v>
      </c>
      <c r="Q83" s="357" t="s">
        <v>18</v>
      </c>
      <c r="R83" s="357" t="s">
        <v>18</v>
      </c>
      <c r="S83" s="357" t="s">
        <v>18</v>
      </c>
      <c r="T83" s="357" t="s">
        <v>18</v>
      </c>
      <c r="U83" s="357" t="s">
        <v>18</v>
      </c>
      <c r="V83" s="357" t="s">
        <v>22</v>
      </c>
      <c r="W83" s="357" t="s">
        <v>18</v>
      </c>
      <c r="X83" s="357" t="s">
        <v>18</v>
      </c>
      <c r="Y83" s="357" t="s">
        <v>18</v>
      </c>
      <c r="Z83" s="357" t="str">
        <f t="shared" si="10"/>
        <v>NÃO</v>
      </c>
      <c r="AA83" s="357" t="str">
        <f t="shared" si="11"/>
        <v>NÃO</v>
      </c>
      <c r="AB83" s="357" t="s">
        <v>18</v>
      </c>
      <c r="AC83" s="358">
        <f t="shared" si="7"/>
        <v>2.0833333333333318E-2</v>
      </c>
      <c r="AD83" s="358">
        <f t="shared" si="8"/>
        <v>1.38888888888889E-2</v>
      </c>
      <c r="AE83" s="342">
        <f t="shared" si="9"/>
        <v>1</v>
      </c>
    </row>
    <row r="84" spans="1:31" ht="15.75" customHeight="1">
      <c r="B84" s="367" t="s">
        <v>577</v>
      </c>
      <c r="C84" s="368" t="s">
        <v>553</v>
      </c>
      <c r="D84" s="358"/>
      <c r="E84" s="358"/>
      <c r="F84" s="358"/>
      <c r="G84" s="359"/>
      <c r="H84" s="357" t="str">
        <f t="shared" si="12"/>
        <v>NÃO</v>
      </c>
      <c r="I84" s="357" t="s">
        <v>18</v>
      </c>
      <c r="J84" s="357" t="s">
        <v>18</v>
      </c>
      <c r="K84" s="357" t="s">
        <v>18</v>
      </c>
      <c r="L84" s="357" t="str">
        <f t="shared" si="13"/>
        <v>NÃO</v>
      </c>
      <c r="M84" s="357" t="s">
        <v>18</v>
      </c>
      <c r="N84" s="357" t="s">
        <v>18</v>
      </c>
      <c r="O84" s="357" t="s">
        <v>18</v>
      </c>
      <c r="P84" s="357" t="s">
        <v>18</v>
      </c>
      <c r="Q84" s="357" t="s">
        <v>18</v>
      </c>
      <c r="R84" s="357" t="s">
        <v>18</v>
      </c>
      <c r="S84" s="357" t="s">
        <v>18</v>
      </c>
      <c r="T84" s="357" t="s">
        <v>18</v>
      </c>
      <c r="U84" s="357" t="s">
        <v>18</v>
      </c>
      <c r="V84" s="357" t="s">
        <v>18</v>
      </c>
      <c r="W84" s="357" t="s">
        <v>18</v>
      </c>
      <c r="X84" s="357" t="s">
        <v>18</v>
      </c>
      <c r="Y84" s="357" t="s">
        <v>18</v>
      </c>
      <c r="Z84" s="357" t="str">
        <f t="shared" si="10"/>
        <v>NÃO</v>
      </c>
      <c r="AA84" s="357" t="str">
        <f t="shared" si="11"/>
        <v>NÃO</v>
      </c>
      <c r="AB84" s="357" t="s">
        <v>18</v>
      </c>
      <c r="AC84" s="358">
        <f t="shared" si="7"/>
        <v>0</v>
      </c>
      <c r="AD84" s="358">
        <f t="shared" si="8"/>
        <v>0</v>
      </c>
      <c r="AE84" s="342">
        <f t="shared" si="9"/>
        <v>0</v>
      </c>
    </row>
    <row r="85" spans="1:31" ht="15.75" customHeight="1">
      <c r="B85" s="367" t="s">
        <v>578</v>
      </c>
      <c r="C85" s="368" t="s">
        <v>553</v>
      </c>
      <c r="D85" s="358"/>
      <c r="E85" s="358"/>
      <c r="F85" s="358"/>
      <c r="G85" s="359"/>
      <c r="H85" s="357" t="str">
        <f t="shared" si="12"/>
        <v>NÃO</v>
      </c>
      <c r="I85" s="357" t="s">
        <v>18</v>
      </c>
      <c r="J85" s="357" t="s">
        <v>18</v>
      </c>
      <c r="K85" s="357" t="s">
        <v>18</v>
      </c>
      <c r="L85" s="357" t="str">
        <f t="shared" si="13"/>
        <v>NÃO</v>
      </c>
      <c r="M85" s="357" t="s">
        <v>18</v>
      </c>
      <c r="N85" s="357" t="s">
        <v>18</v>
      </c>
      <c r="O85" s="357" t="s">
        <v>18</v>
      </c>
      <c r="P85" s="357" t="s">
        <v>18</v>
      </c>
      <c r="Q85" s="357" t="s">
        <v>18</v>
      </c>
      <c r="R85" s="357" t="s">
        <v>18</v>
      </c>
      <c r="S85" s="357" t="s">
        <v>18</v>
      </c>
      <c r="T85" s="357" t="s">
        <v>18</v>
      </c>
      <c r="U85" s="357" t="s">
        <v>18</v>
      </c>
      <c r="V85" s="357" t="s">
        <v>18</v>
      </c>
      <c r="W85" s="357" t="s">
        <v>18</v>
      </c>
      <c r="X85" s="357" t="s">
        <v>18</v>
      </c>
      <c r="Y85" s="357" t="s">
        <v>18</v>
      </c>
      <c r="Z85" s="357" t="str">
        <f t="shared" si="10"/>
        <v>NÃO</v>
      </c>
      <c r="AA85" s="357" t="str">
        <f t="shared" si="11"/>
        <v>NÃO</v>
      </c>
      <c r="AB85" s="357" t="s">
        <v>18</v>
      </c>
      <c r="AC85" s="358">
        <f t="shared" si="7"/>
        <v>0</v>
      </c>
      <c r="AD85" s="358">
        <f t="shared" si="8"/>
        <v>0</v>
      </c>
      <c r="AE85" s="342">
        <f t="shared" si="9"/>
        <v>0</v>
      </c>
    </row>
    <row r="86" spans="1:31" ht="15.75" customHeight="1">
      <c r="B86" s="367" t="s">
        <v>579</v>
      </c>
      <c r="C86" s="368" t="s">
        <v>553</v>
      </c>
      <c r="D86" s="358"/>
      <c r="E86" s="358"/>
      <c r="F86" s="358"/>
      <c r="G86" s="359"/>
      <c r="H86" s="357" t="str">
        <f t="shared" si="12"/>
        <v>NÃO</v>
      </c>
      <c r="I86" s="357" t="s">
        <v>18</v>
      </c>
      <c r="J86" s="357" t="s">
        <v>18</v>
      </c>
      <c r="K86" s="357" t="s">
        <v>18</v>
      </c>
      <c r="L86" s="357" t="str">
        <f t="shared" si="13"/>
        <v>NÃO</v>
      </c>
      <c r="M86" s="357" t="s">
        <v>18</v>
      </c>
      <c r="N86" s="357" t="s">
        <v>18</v>
      </c>
      <c r="O86" s="357" t="s">
        <v>18</v>
      </c>
      <c r="P86" s="357" t="s">
        <v>18</v>
      </c>
      <c r="Q86" s="357" t="s">
        <v>18</v>
      </c>
      <c r="R86" s="357" t="s">
        <v>18</v>
      </c>
      <c r="S86" s="357" t="s">
        <v>18</v>
      </c>
      <c r="T86" s="357" t="s">
        <v>18</v>
      </c>
      <c r="U86" s="357" t="s">
        <v>18</v>
      </c>
      <c r="V86" s="357" t="s">
        <v>18</v>
      </c>
      <c r="W86" s="357" t="s">
        <v>18</v>
      </c>
      <c r="X86" s="357" t="s">
        <v>18</v>
      </c>
      <c r="Y86" s="357" t="s">
        <v>18</v>
      </c>
      <c r="Z86" s="357" t="str">
        <f t="shared" si="10"/>
        <v>NÃO</v>
      </c>
      <c r="AA86" s="357" t="str">
        <f t="shared" si="11"/>
        <v>NÃO</v>
      </c>
      <c r="AB86" s="357" t="s">
        <v>18</v>
      </c>
      <c r="AC86" s="358">
        <f t="shared" si="7"/>
        <v>0</v>
      </c>
      <c r="AD86" s="358">
        <f t="shared" si="8"/>
        <v>0</v>
      </c>
      <c r="AE86" s="342">
        <f t="shared" si="9"/>
        <v>0</v>
      </c>
    </row>
    <row r="87" spans="1:31" ht="15.75" customHeight="1">
      <c r="B87" s="367" t="s">
        <v>580</v>
      </c>
      <c r="C87" s="368" t="s">
        <v>553</v>
      </c>
      <c r="D87" s="358"/>
      <c r="E87" s="358"/>
      <c r="F87" s="358"/>
      <c r="G87" s="359"/>
      <c r="H87" s="357" t="str">
        <f t="shared" si="12"/>
        <v>NÃO</v>
      </c>
      <c r="I87" s="357" t="s">
        <v>18</v>
      </c>
      <c r="J87" s="357" t="s">
        <v>18</v>
      </c>
      <c r="K87" s="357" t="s">
        <v>18</v>
      </c>
      <c r="L87" s="357" t="str">
        <f t="shared" si="13"/>
        <v>NÃO</v>
      </c>
      <c r="M87" s="357" t="s">
        <v>18</v>
      </c>
      <c r="N87" s="357" t="s">
        <v>18</v>
      </c>
      <c r="O87" s="357" t="s">
        <v>18</v>
      </c>
      <c r="P87" s="357" t="s">
        <v>18</v>
      </c>
      <c r="Q87" s="357" t="s">
        <v>18</v>
      </c>
      <c r="R87" s="357" t="s">
        <v>18</v>
      </c>
      <c r="S87" s="357" t="s">
        <v>18</v>
      </c>
      <c r="T87" s="357" t="s">
        <v>18</v>
      </c>
      <c r="U87" s="357" t="s">
        <v>18</v>
      </c>
      <c r="V87" s="357" t="s">
        <v>18</v>
      </c>
      <c r="W87" s="357" t="s">
        <v>18</v>
      </c>
      <c r="X87" s="357" t="s">
        <v>18</v>
      </c>
      <c r="Y87" s="357" t="s">
        <v>18</v>
      </c>
      <c r="Z87" s="357" t="str">
        <f t="shared" si="10"/>
        <v>NÃO</v>
      </c>
      <c r="AA87" s="357" t="str">
        <f t="shared" si="11"/>
        <v>NÃO</v>
      </c>
      <c r="AB87" s="357" t="s">
        <v>18</v>
      </c>
      <c r="AC87" s="358">
        <f t="shared" si="7"/>
        <v>0</v>
      </c>
      <c r="AD87" s="358">
        <f t="shared" si="8"/>
        <v>0</v>
      </c>
      <c r="AE87" s="342">
        <f t="shared" si="9"/>
        <v>0</v>
      </c>
    </row>
    <row r="88" spans="1:31" ht="15.75" customHeight="1">
      <c r="B88" s="367" t="s">
        <v>581</v>
      </c>
      <c r="C88" s="368" t="s">
        <v>553</v>
      </c>
      <c r="D88" s="358"/>
      <c r="E88" s="358"/>
      <c r="F88" s="358"/>
      <c r="G88" s="359"/>
      <c r="H88" s="357" t="str">
        <f t="shared" si="12"/>
        <v>NÃO</v>
      </c>
      <c r="I88" s="357" t="s">
        <v>18</v>
      </c>
      <c r="J88" s="357" t="s">
        <v>18</v>
      </c>
      <c r="K88" s="357" t="s">
        <v>18</v>
      </c>
      <c r="L88" s="357" t="str">
        <f t="shared" si="13"/>
        <v>NÃO</v>
      </c>
      <c r="M88" s="357" t="s">
        <v>18</v>
      </c>
      <c r="N88" s="357" t="s">
        <v>18</v>
      </c>
      <c r="O88" s="357" t="s">
        <v>18</v>
      </c>
      <c r="P88" s="357" t="s">
        <v>18</v>
      </c>
      <c r="Q88" s="357" t="s">
        <v>18</v>
      </c>
      <c r="R88" s="357" t="s">
        <v>18</v>
      </c>
      <c r="S88" s="357" t="s">
        <v>18</v>
      </c>
      <c r="T88" s="357" t="s">
        <v>18</v>
      </c>
      <c r="U88" s="357" t="s">
        <v>18</v>
      </c>
      <c r="V88" s="357" t="s">
        <v>18</v>
      </c>
      <c r="W88" s="357" t="s">
        <v>18</v>
      </c>
      <c r="X88" s="357" t="s">
        <v>18</v>
      </c>
      <c r="Y88" s="357" t="s">
        <v>18</v>
      </c>
      <c r="Z88" s="357" t="str">
        <f t="shared" si="10"/>
        <v>NÃO</v>
      </c>
      <c r="AA88" s="357" t="str">
        <f t="shared" si="11"/>
        <v>NÃO</v>
      </c>
      <c r="AB88" s="357" t="s">
        <v>18</v>
      </c>
      <c r="AC88" s="358">
        <f t="shared" si="7"/>
        <v>0</v>
      </c>
      <c r="AD88" s="358">
        <f t="shared" si="8"/>
        <v>0</v>
      </c>
      <c r="AE88" s="342">
        <f t="shared" si="9"/>
        <v>0</v>
      </c>
    </row>
    <row r="89" spans="1:31" ht="15.75" customHeight="1">
      <c r="B89" s="367" t="s">
        <v>582</v>
      </c>
      <c r="C89" s="368" t="s">
        <v>553</v>
      </c>
      <c r="D89" s="358"/>
      <c r="E89" s="358"/>
      <c r="F89" s="358"/>
      <c r="G89" s="359"/>
      <c r="H89" s="357" t="str">
        <f t="shared" si="12"/>
        <v>NÃO</v>
      </c>
      <c r="I89" s="357" t="s">
        <v>18</v>
      </c>
      <c r="J89" s="357" t="s">
        <v>18</v>
      </c>
      <c r="K89" s="357" t="s">
        <v>18</v>
      </c>
      <c r="L89" s="357" t="str">
        <f t="shared" si="13"/>
        <v>NÃO</v>
      </c>
      <c r="M89" s="357" t="s">
        <v>18</v>
      </c>
      <c r="N89" s="357" t="s">
        <v>18</v>
      </c>
      <c r="O89" s="357" t="s">
        <v>18</v>
      </c>
      <c r="P89" s="357" t="s">
        <v>18</v>
      </c>
      <c r="Q89" s="357" t="s">
        <v>18</v>
      </c>
      <c r="R89" s="357" t="s">
        <v>18</v>
      </c>
      <c r="S89" s="357" t="s">
        <v>18</v>
      </c>
      <c r="T89" s="357" t="s">
        <v>18</v>
      </c>
      <c r="U89" s="357" t="s">
        <v>18</v>
      </c>
      <c r="V89" s="357" t="s">
        <v>18</v>
      </c>
      <c r="W89" s="357" t="s">
        <v>18</v>
      </c>
      <c r="X89" s="357" t="s">
        <v>18</v>
      </c>
      <c r="Y89" s="357" t="s">
        <v>18</v>
      </c>
      <c r="Z89" s="357" t="str">
        <f t="shared" si="10"/>
        <v>NÃO</v>
      </c>
      <c r="AA89" s="357" t="str">
        <f t="shared" si="11"/>
        <v>NÃO</v>
      </c>
      <c r="AB89" s="357" t="s">
        <v>18</v>
      </c>
      <c r="AC89" s="358">
        <f t="shared" si="7"/>
        <v>0</v>
      </c>
      <c r="AD89" s="358">
        <f t="shared" si="8"/>
        <v>0</v>
      </c>
      <c r="AE89" s="342">
        <f t="shared" si="9"/>
        <v>0</v>
      </c>
    </row>
    <row r="90" spans="1:31" ht="15.75" customHeight="1">
      <c r="B90" s="367" t="s">
        <v>583</v>
      </c>
      <c r="C90" s="368" t="s">
        <v>553</v>
      </c>
      <c r="D90" s="358"/>
      <c r="E90" s="358"/>
      <c r="F90" s="358"/>
      <c r="G90" s="359"/>
      <c r="H90" s="357" t="str">
        <f t="shared" si="12"/>
        <v>NÃO</v>
      </c>
      <c r="I90" s="357" t="s">
        <v>18</v>
      </c>
      <c r="J90" s="357" t="s">
        <v>18</v>
      </c>
      <c r="K90" s="357" t="s">
        <v>18</v>
      </c>
      <c r="L90" s="357" t="str">
        <f t="shared" si="13"/>
        <v>NÃO</v>
      </c>
      <c r="M90" s="357" t="s">
        <v>18</v>
      </c>
      <c r="N90" s="357" t="s">
        <v>18</v>
      </c>
      <c r="O90" s="357" t="s">
        <v>18</v>
      </c>
      <c r="P90" s="357" t="s">
        <v>18</v>
      </c>
      <c r="Q90" s="357" t="s">
        <v>18</v>
      </c>
      <c r="R90" s="357" t="s">
        <v>18</v>
      </c>
      <c r="S90" s="357" t="s">
        <v>18</v>
      </c>
      <c r="T90" s="357" t="s">
        <v>18</v>
      </c>
      <c r="U90" s="357" t="s">
        <v>18</v>
      </c>
      <c r="V90" s="357" t="s">
        <v>18</v>
      </c>
      <c r="W90" s="357" t="s">
        <v>18</v>
      </c>
      <c r="X90" s="357" t="s">
        <v>18</v>
      </c>
      <c r="Y90" s="357" t="s">
        <v>18</v>
      </c>
      <c r="Z90" s="357" t="str">
        <f t="shared" si="10"/>
        <v>NÃO</v>
      </c>
      <c r="AA90" s="357" t="str">
        <f t="shared" si="11"/>
        <v>NÃO</v>
      </c>
      <c r="AB90" s="357" t="s">
        <v>18</v>
      </c>
      <c r="AC90" s="358">
        <f t="shared" si="7"/>
        <v>0</v>
      </c>
      <c r="AD90" s="358">
        <f t="shared" si="8"/>
        <v>0</v>
      </c>
      <c r="AE90" s="342">
        <f t="shared" si="9"/>
        <v>0</v>
      </c>
    </row>
    <row r="91" spans="1:31" ht="15.75" customHeight="1">
      <c r="B91" s="367" t="s">
        <v>584</v>
      </c>
      <c r="C91" s="368" t="s">
        <v>553</v>
      </c>
      <c r="D91" s="358"/>
      <c r="E91" s="358"/>
      <c r="F91" s="358"/>
      <c r="G91" s="359"/>
      <c r="H91" s="357" t="str">
        <f t="shared" si="12"/>
        <v>NÃO</v>
      </c>
      <c r="I91" s="357" t="s">
        <v>18</v>
      </c>
      <c r="J91" s="357" t="s">
        <v>18</v>
      </c>
      <c r="K91" s="357" t="s">
        <v>18</v>
      </c>
      <c r="L91" s="357" t="str">
        <f t="shared" si="13"/>
        <v>NÃO</v>
      </c>
      <c r="M91" s="357" t="s">
        <v>18</v>
      </c>
      <c r="N91" s="357" t="s">
        <v>18</v>
      </c>
      <c r="O91" s="357" t="s">
        <v>18</v>
      </c>
      <c r="P91" s="357" t="s">
        <v>18</v>
      </c>
      <c r="Q91" s="357" t="s">
        <v>18</v>
      </c>
      <c r="R91" s="357" t="s">
        <v>18</v>
      </c>
      <c r="S91" s="357" t="s">
        <v>18</v>
      </c>
      <c r="T91" s="357" t="s">
        <v>18</v>
      </c>
      <c r="U91" s="357" t="s">
        <v>18</v>
      </c>
      <c r="V91" s="357" t="s">
        <v>18</v>
      </c>
      <c r="W91" s="357" t="s">
        <v>18</v>
      </c>
      <c r="X91" s="357" t="s">
        <v>18</v>
      </c>
      <c r="Y91" s="357" t="s">
        <v>18</v>
      </c>
      <c r="Z91" s="357" t="str">
        <f t="shared" si="10"/>
        <v>NÃO</v>
      </c>
      <c r="AA91" s="357" t="str">
        <f t="shared" si="11"/>
        <v>NÃO</v>
      </c>
      <c r="AB91" s="357" t="s">
        <v>18</v>
      </c>
      <c r="AC91" s="358">
        <f t="shared" si="7"/>
        <v>0</v>
      </c>
      <c r="AD91" s="358">
        <f t="shared" si="8"/>
        <v>0</v>
      </c>
      <c r="AE91" s="342">
        <f t="shared" si="9"/>
        <v>0</v>
      </c>
    </row>
    <row r="92" spans="1:31" ht="15.75" customHeight="1">
      <c r="B92" s="367" t="s">
        <v>585</v>
      </c>
      <c r="C92" s="368" t="s">
        <v>553</v>
      </c>
      <c r="D92" s="358"/>
      <c r="E92" s="358"/>
      <c r="F92" s="358"/>
      <c r="G92" s="359"/>
      <c r="H92" s="357" t="str">
        <f t="shared" si="12"/>
        <v>NÃO</v>
      </c>
      <c r="I92" s="357" t="s">
        <v>18</v>
      </c>
      <c r="J92" s="357" t="s">
        <v>18</v>
      </c>
      <c r="K92" s="357" t="s">
        <v>18</v>
      </c>
      <c r="L92" s="357" t="str">
        <f t="shared" si="13"/>
        <v>NÃO</v>
      </c>
      <c r="M92" s="357" t="s">
        <v>18</v>
      </c>
      <c r="N92" s="357" t="s">
        <v>18</v>
      </c>
      <c r="O92" s="357" t="s">
        <v>18</v>
      </c>
      <c r="P92" s="357" t="s">
        <v>18</v>
      </c>
      <c r="Q92" s="357" t="s">
        <v>18</v>
      </c>
      <c r="R92" s="357" t="s">
        <v>18</v>
      </c>
      <c r="S92" s="357" t="s">
        <v>18</v>
      </c>
      <c r="T92" s="357" t="s">
        <v>18</v>
      </c>
      <c r="U92" s="357" t="s">
        <v>18</v>
      </c>
      <c r="V92" s="357" t="s">
        <v>18</v>
      </c>
      <c r="W92" s="357" t="s">
        <v>18</v>
      </c>
      <c r="X92" s="357" t="s">
        <v>18</v>
      </c>
      <c r="Y92" s="357" t="s">
        <v>18</v>
      </c>
      <c r="Z92" s="357" t="str">
        <f t="shared" si="10"/>
        <v>NÃO</v>
      </c>
      <c r="AA92" s="357" t="str">
        <f t="shared" si="11"/>
        <v>NÃO</v>
      </c>
      <c r="AB92" s="357" t="s">
        <v>18</v>
      </c>
      <c r="AC92" s="358">
        <f t="shared" si="7"/>
        <v>0</v>
      </c>
      <c r="AD92" s="358">
        <f t="shared" si="8"/>
        <v>0</v>
      </c>
      <c r="AE92" s="342">
        <f t="shared" si="9"/>
        <v>0</v>
      </c>
    </row>
    <row r="93" spans="1:31" ht="15.75" customHeight="1">
      <c r="B93" s="367" t="s">
        <v>586</v>
      </c>
      <c r="C93" s="368" t="s">
        <v>553</v>
      </c>
      <c r="D93" s="358"/>
      <c r="E93" s="358"/>
      <c r="F93" s="358"/>
      <c r="G93" s="359"/>
      <c r="H93" s="357" t="str">
        <f t="shared" si="12"/>
        <v>NÃO</v>
      </c>
      <c r="I93" s="357" t="s">
        <v>18</v>
      </c>
      <c r="J93" s="357" t="s">
        <v>18</v>
      </c>
      <c r="K93" s="357" t="s">
        <v>18</v>
      </c>
      <c r="L93" s="357" t="str">
        <f t="shared" si="13"/>
        <v>NÃO</v>
      </c>
      <c r="M93" s="357" t="s">
        <v>18</v>
      </c>
      <c r="N93" s="357" t="s">
        <v>18</v>
      </c>
      <c r="O93" s="357" t="s">
        <v>18</v>
      </c>
      <c r="P93" s="357" t="s">
        <v>18</v>
      </c>
      <c r="Q93" s="357" t="s">
        <v>18</v>
      </c>
      <c r="R93" s="357" t="s">
        <v>18</v>
      </c>
      <c r="S93" s="357" t="s">
        <v>18</v>
      </c>
      <c r="T93" s="357" t="s">
        <v>18</v>
      </c>
      <c r="U93" s="357" t="s">
        <v>18</v>
      </c>
      <c r="V93" s="357" t="s">
        <v>18</v>
      </c>
      <c r="W93" s="357" t="s">
        <v>18</v>
      </c>
      <c r="X93" s="357" t="s">
        <v>18</v>
      </c>
      <c r="Y93" s="357" t="s">
        <v>18</v>
      </c>
      <c r="Z93" s="357" t="str">
        <f t="shared" si="10"/>
        <v>NÃO</v>
      </c>
      <c r="AA93" s="357" t="str">
        <f t="shared" si="11"/>
        <v>NÃO</v>
      </c>
      <c r="AB93" s="357" t="s">
        <v>18</v>
      </c>
      <c r="AC93" s="358">
        <f t="shared" si="7"/>
        <v>0</v>
      </c>
      <c r="AD93" s="358">
        <f t="shared" si="8"/>
        <v>0</v>
      </c>
      <c r="AE93" s="342">
        <f t="shared" si="9"/>
        <v>0</v>
      </c>
    </row>
    <row r="94" spans="1:31" ht="15.75" customHeight="1">
      <c r="B94" s="367" t="s">
        <v>587</v>
      </c>
      <c r="C94" s="368" t="s">
        <v>553</v>
      </c>
      <c r="D94" s="358"/>
      <c r="E94" s="358"/>
      <c r="F94" s="358"/>
      <c r="G94" s="359"/>
      <c r="H94" s="357" t="str">
        <f t="shared" si="12"/>
        <v>NÃO</v>
      </c>
      <c r="I94" s="357" t="s">
        <v>18</v>
      </c>
      <c r="J94" s="357" t="s">
        <v>18</v>
      </c>
      <c r="K94" s="357" t="s">
        <v>18</v>
      </c>
      <c r="L94" s="357" t="str">
        <f t="shared" si="13"/>
        <v>NÃO</v>
      </c>
      <c r="M94" s="357" t="s">
        <v>18</v>
      </c>
      <c r="N94" s="357" t="s">
        <v>18</v>
      </c>
      <c r="O94" s="357" t="s">
        <v>18</v>
      </c>
      <c r="P94" s="357" t="s">
        <v>18</v>
      </c>
      <c r="Q94" s="357" t="s">
        <v>18</v>
      </c>
      <c r="R94" s="357" t="s">
        <v>18</v>
      </c>
      <c r="S94" s="357" t="s">
        <v>18</v>
      </c>
      <c r="T94" s="357" t="s">
        <v>18</v>
      </c>
      <c r="U94" s="357" t="s">
        <v>18</v>
      </c>
      <c r="V94" s="357" t="s">
        <v>18</v>
      </c>
      <c r="W94" s="357" t="s">
        <v>18</v>
      </c>
      <c r="X94" s="357" t="s">
        <v>18</v>
      </c>
      <c r="Y94" s="357" t="s">
        <v>18</v>
      </c>
      <c r="Z94" s="357" t="str">
        <f t="shared" si="10"/>
        <v>NÃO</v>
      </c>
      <c r="AA94" s="357" t="str">
        <f t="shared" si="11"/>
        <v>NÃO</v>
      </c>
      <c r="AB94" s="357" t="s">
        <v>18</v>
      </c>
      <c r="AC94" s="358">
        <f t="shared" si="7"/>
        <v>0</v>
      </c>
      <c r="AD94" s="358">
        <f t="shared" si="8"/>
        <v>0</v>
      </c>
      <c r="AE94" s="342">
        <f t="shared" si="9"/>
        <v>0</v>
      </c>
    </row>
    <row r="95" spans="1:31" ht="15.75" customHeight="1">
      <c r="B95" s="367" t="s">
        <v>588</v>
      </c>
      <c r="C95" s="368" t="s">
        <v>553</v>
      </c>
      <c r="D95" s="358"/>
      <c r="E95" s="358"/>
      <c r="F95" s="358"/>
      <c r="G95" s="359"/>
      <c r="H95" s="357" t="str">
        <f t="shared" si="12"/>
        <v>NÃO</v>
      </c>
      <c r="I95" s="357" t="s">
        <v>18</v>
      </c>
      <c r="J95" s="357" t="s">
        <v>18</v>
      </c>
      <c r="K95" s="357" t="s">
        <v>18</v>
      </c>
      <c r="L95" s="357" t="str">
        <f t="shared" si="13"/>
        <v>NÃO</v>
      </c>
      <c r="M95" s="357" t="s">
        <v>18</v>
      </c>
      <c r="N95" s="357" t="s">
        <v>18</v>
      </c>
      <c r="O95" s="357" t="s">
        <v>18</v>
      </c>
      <c r="P95" s="357" t="s">
        <v>18</v>
      </c>
      <c r="Q95" s="357" t="s">
        <v>18</v>
      </c>
      <c r="R95" s="357" t="s">
        <v>18</v>
      </c>
      <c r="S95" s="357" t="s">
        <v>18</v>
      </c>
      <c r="T95" s="357" t="s">
        <v>18</v>
      </c>
      <c r="U95" s="357" t="s">
        <v>18</v>
      </c>
      <c r="V95" s="357" t="s">
        <v>18</v>
      </c>
      <c r="W95" s="357" t="s">
        <v>18</v>
      </c>
      <c r="X95" s="357" t="s">
        <v>18</v>
      </c>
      <c r="Y95" s="357" t="s">
        <v>18</v>
      </c>
      <c r="Z95" s="357" t="str">
        <f t="shared" si="10"/>
        <v>NÃO</v>
      </c>
      <c r="AA95" s="357" t="str">
        <f t="shared" si="11"/>
        <v>NÃO</v>
      </c>
      <c r="AB95" s="357" t="s">
        <v>18</v>
      </c>
      <c r="AC95" s="358">
        <f t="shared" si="7"/>
        <v>0</v>
      </c>
      <c r="AD95" s="358">
        <f t="shared" si="8"/>
        <v>0</v>
      </c>
      <c r="AE95" s="342">
        <f t="shared" si="9"/>
        <v>0</v>
      </c>
    </row>
    <row r="96" spans="1:31" ht="15.75" customHeight="1">
      <c r="B96" s="367" t="s">
        <v>589</v>
      </c>
      <c r="C96" s="368" t="s">
        <v>553</v>
      </c>
      <c r="D96" s="358"/>
      <c r="E96" s="358"/>
      <c r="F96" s="358"/>
      <c r="G96" s="359"/>
      <c r="H96" s="357" t="str">
        <f t="shared" si="12"/>
        <v>NÃO</v>
      </c>
      <c r="I96" s="357" t="s">
        <v>18</v>
      </c>
      <c r="J96" s="357" t="s">
        <v>18</v>
      </c>
      <c r="K96" s="357" t="s">
        <v>18</v>
      </c>
      <c r="L96" s="357" t="str">
        <f t="shared" si="13"/>
        <v>NÃO</v>
      </c>
      <c r="M96" s="357" t="s">
        <v>18</v>
      </c>
      <c r="N96" s="357" t="s">
        <v>18</v>
      </c>
      <c r="O96" s="357" t="s">
        <v>18</v>
      </c>
      <c r="P96" s="357" t="s">
        <v>18</v>
      </c>
      <c r="Q96" s="357" t="s">
        <v>18</v>
      </c>
      <c r="R96" s="357" t="s">
        <v>18</v>
      </c>
      <c r="S96" s="357" t="s">
        <v>18</v>
      </c>
      <c r="T96" s="357" t="s">
        <v>18</v>
      </c>
      <c r="U96" s="357" t="s">
        <v>18</v>
      </c>
      <c r="V96" s="357" t="s">
        <v>18</v>
      </c>
      <c r="W96" s="357" t="s">
        <v>18</v>
      </c>
      <c r="X96" s="357" t="s">
        <v>18</v>
      </c>
      <c r="Y96" s="357" t="s">
        <v>18</v>
      </c>
      <c r="Z96" s="357" t="str">
        <f t="shared" si="10"/>
        <v>NÃO</v>
      </c>
      <c r="AA96" s="357" t="str">
        <f t="shared" si="11"/>
        <v>NÃO</v>
      </c>
      <c r="AB96" s="357" t="s">
        <v>18</v>
      </c>
      <c r="AC96" s="358">
        <f t="shared" si="7"/>
        <v>0</v>
      </c>
      <c r="AD96" s="358">
        <f t="shared" si="8"/>
        <v>0</v>
      </c>
      <c r="AE96" s="342">
        <f t="shared" si="9"/>
        <v>0</v>
      </c>
    </row>
    <row r="97" spans="2:32" ht="15.75" customHeight="1">
      <c r="B97" s="367" t="s">
        <v>590</v>
      </c>
      <c r="C97" s="368" t="s">
        <v>553</v>
      </c>
      <c r="D97" s="358"/>
      <c r="E97" s="358"/>
      <c r="F97" s="358"/>
      <c r="G97" s="359"/>
      <c r="H97" s="357" t="str">
        <f t="shared" si="12"/>
        <v>NÃO</v>
      </c>
      <c r="I97" s="357" t="s">
        <v>18</v>
      </c>
      <c r="J97" s="357" t="s">
        <v>18</v>
      </c>
      <c r="K97" s="357" t="s">
        <v>18</v>
      </c>
      <c r="L97" s="357" t="str">
        <f t="shared" si="13"/>
        <v>NÃO</v>
      </c>
      <c r="M97" s="357" t="s">
        <v>18</v>
      </c>
      <c r="N97" s="357" t="s">
        <v>18</v>
      </c>
      <c r="O97" s="357" t="s">
        <v>18</v>
      </c>
      <c r="P97" s="357" t="s">
        <v>18</v>
      </c>
      <c r="Q97" s="357" t="s">
        <v>18</v>
      </c>
      <c r="R97" s="357" t="s">
        <v>18</v>
      </c>
      <c r="S97" s="357" t="s">
        <v>18</v>
      </c>
      <c r="T97" s="357" t="s">
        <v>18</v>
      </c>
      <c r="U97" s="357" t="s">
        <v>18</v>
      </c>
      <c r="V97" s="357" t="s">
        <v>18</v>
      </c>
      <c r="W97" s="357" t="s">
        <v>18</v>
      </c>
      <c r="X97" s="357" t="s">
        <v>18</v>
      </c>
      <c r="Y97" s="357" t="s">
        <v>18</v>
      </c>
      <c r="Z97" s="357" t="str">
        <f t="shared" si="10"/>
        <v>NÃO</v>
      </c>
      <c r="AA97" s="357" t="str">
        <f t="shared" si="11"/>
        <v>NÃO</v>
      </c>
      <c r="AB97" s="357" t="s">
        <v>18</v>
      </c>
      <c r="AC97" s="358">
        <f t="shared" si="7"/>
        <v>0</v>
      </c>
      <c r="AD97" s="358">
        <f t="shared" si="8"/>
        <v>0</v>
      </c>
      <c r="AE97" s="342">
        <f t="shared" si="9"/>
        <v>0</v>
      </c>
    </row>
    <row r="98" spans="2:32" ht="15.75" customHeight="1">
      <c r="B98" s="367" t="s">
        <v>591</v>
      </c>
      <c r="C98" s="368" t="s">
        <v>553</v>
      </c>
      <c r="D98" s="358"/>
      <c r="E98" s="358"/>
      <c r="F98" s="358"/>
      <c r="G98" s="359"/>
      <c r="H98" s="357" t="str">
        <f t="shared" si="12"/>
        <v>NÃO</v>
      </c>
      <c r="I98" s="357" t="s">
        <v>18</v>
      </c>
      <c r="J98" s="357" t="s">
        <v>18</v>
      </c>
      <c r="K98" s="357" t="s">
        <v>18</v>
      </c>
      <c r="L98" s="357" t="str">
        <f t="shared" si="13"/>
        <v>NÃO</v>
      </c>
      <c r="M98" s="357" t="s">
        <v>18</v>
      </c>
      <c r="N98" s="357" t="s">
        <v>18</v>
      </c>
      <c r="O98" s="357" t="s">
        <v>18</v>
      </c>
      <c r="P98" s="357" t="s">
        <v>18</v>
      </c>
      <c r="Q98" s="357" t="s">
        <v>18</v>
      </c>
      <c r="R98" s="357" t="s">
        <v>18</v>
      </c>
      <c r="S98" s="357" t="s">
        <v>18</v>
      </c>
      <c r="T98" s="357" t="s">
        <v>18</v>
      </c>
      <c r="U98" s="357" t="s">
        <v>18</v>
      </c>
      <c r="V98" s="357" t="s">
        <v>18</v>
      </c>
      <c r="W98" s="357" t="s">
        <v>18</v>
      </c>
      <c r="X98" s="357" t="s">
        <v>18</v>
      </c>
      <c r="Y98" s="357" t="s">
        <v>18</v>
      </c>
      <c r="Z98" s="357" t="str">
        <f t="shared" si="10"/>
        <v>NÃO</v>
      </c>
      <c r="AA98" s="357" t="str">
        <f t="shared" si="11"/>
        <v>NÃO</v>
      </c>
      <c r="AB98" s="357" t="s">
        <v>18</v>
      </c>
      <c r="AC98" s="358">
        <f t="shared" si="7"/>
        <v>0</v>
      </c>
      <c r="AD98" s="358">
        <f t="shared" si="8"/>
        <v>0</v>
      </c>
      <c r="AE98" s="342">
        <f t="shared" si="9"/>
        <v>0</v>
      </c>
    </row>
    <row r="99" spans="2:32" ht="15.75" customHeight="1">
      <c r="B99" s="367" t="s">
        <v>592</v>
      </c>
      <c r="C99" s="368" t="s">
        <v>553</v>
      </c>
      <c r="D99" s="358"/>
      <c r="E99" s="358"/>
      <c r="F99" s="358"/>
      <c r="G99" s="359"/>
      <c r="H99" s="357" t="str">
        <f t="shared" si="12"/>
        <v>NÃO</v>
      </c>
      <c r="I99" s="357" t="s">
        <v>18</v>
      </c>
      <c r="J99" s="357" t="s">
        <v>18</v>
      </c>
      <c r="K99" s="357" t="s">
        <v>18</v>
      </c>
      <c r="L99" s="357" t="str">
        <f t="shared" si="13"/>
        <v>NÃO</v>
      </c>
      <c r="M99" s="357" t="s">
        <v>18</v>
      </c>
      <c r="N99" s="357" t="s">
        <v>18</v>
      </c>
      <c r="O99" s="357" t="s">
        <v>18</v>
      </c>
      <c r="P99" s="357" t="s">
        <v>18</v>
      </c>
      <c r="Q99" s="357" t="s">
        <v>18</v>
      </c>
      <c r="R99" s="357" t="s">
        <v>18</v>
      </c>
      <c r="S99" s="357" t="s">
        <v>18</v>
      </c>
      <c r="T99" s="357" t="s">
        <v>18</v>
      </c>
      <c r="U99" s="357" t="s">
        <v>18</v>
      </c>
      <c r="V99" s="357" t="s">
        <v>18</v>
      </c>
      <c r="W99" s="357" t="s">
        <v>18</v>
      </c>
      <c r="X99" s="357" t="s">
        <v>18</v>
      </c>
      <c r="Y99" s="357" t="s">
        <v>18</v>
      </c>
      <c r="Z99" s="357" t="str">
        <f t="shared" si="10"/>
        <v>NÃO</v>
      </c>
      <c r="AA99" s="357" t="str">
        <f t="shared" si="11"/>
        <v>NÃO</v>
      </c>
      <c r="AB99" s="357" t="s">
        <v>18</v>
      </c>
      <c r="AC99" s="358">
        <f t="shared" ref="AC99:AC111" si="14">IF(COUNTIFS($H$1:$AB$1,"x",H99:AB99,"SIM")&gt;0,(D99+E99+F99),0)</f>
        <v>0</v>
      </c>
      <c r="AD99" s="358">
        <f t="shared" ref="AD99:AD111" si="15">IF(COUNTIFS($H$1:$AB$1,"x",H99:AB99,"SIM")&gt;0,G99,0)</f>
        <v>0</v>
      </c>
      <c r="AE99" s="342">
        <f t="shared" ref="AE99:AE111" si="16">COUNTIFS(H99:AB99,"SIM")</f>
        <v>0</v>
      </c>
    </row>
    <row r="100" spans="2:32" ht="15.75" customHeight="1">
      <c r="B100" s="367" t="s">
        <v>593</v>
      </c>
      <c r="C100" s="368" t="s">
        <v>553</v>
      </c>
      <c r="D100" s="358"/>
      <c r="E100" s="358"/>
      <c r="F100" s="358"/>
      <c r="G100" s="359"/>
      <c r="H100" s="357" t="str">
        <f t="shared" si="12"/>
        <v>NÃO</v>
      </c>
      <c r="I100" s="357" t="s">
        <v>18</v>
      </c>
      <c r="J100" s="357" t="s">
        <v>18</v>
      </c>
      <c r="K100" s="357" t="s">
        <v>18</v>
      </c>
      <c r="L100" s="357" t="str">
        <f t="shared" si="13"/>
        <v>NÃO</v>
      </c>
      <c r="M100" s="357" t="s">
        <v>18</v>
      </c>
      <c r="N100" s="357" t="s">
        <v>18</v>
      </c>
      <c r="O100" s="357" t="s">
        <v>18</v>
      </c>
      <c r="P100" s="357" t="s">
        <v>18</v>
      </c>
      <c r="Q100" s="357" t="s">
        <v>18</v>
      </c>
      <c r="R100" s="357" t="s">
        <v>18</v>
      </c>
      <c r="S100" s="357" t="s">
        <v>18</v>
      </c>
      <c r="T100" s="357" t="s">
        <v>18</v>
      </c>
      <c r="U100" s="357" t="s">
        <v>18</v>
      </c>
      <c r="V100" s="357" t="s">
        <v>18</v>
      </c>
      <c r="W100" s="357" t="s">
        <v>18</v>
      </c>
      <c r="X100" s="357" t="s">
        <v>18</v>
      </c>
      <c r="Y100" s="357" t="s">
        <v>18</v>
      </c>
      <c r="Z100" s="357" t="str">
        <f t="shared" si="10"/>
        <v>NÃO</v>
      </c>
      <c r="AA100" s="357" t="str">
        <f t="shared" si="11"/>
        <v>NÃO</v>
      </c>
      <c r="AB100" s="357" t="s">
        <v>18</v>
      </c>
      <c r="AC100" s="358">
        <f t="shared" si="14"/>
        <v>0</v>
      </c>
      <c r="AD100" s="358">
        <f t="shared" si="15"/>
        <v>0</v>
      </c>
      <c r="AE100" s="342">
        <f t="shared" si="16"/>
        <v>0</v>
      </c>
    </row>
    <row r="101" spans="2:32" ht="15.75" customHeight="1">
      <c r="B101" s="367" t="s">
        <v>594</v>
      </c>
      <c r="C101" s="368" t="s">
        <v>553</v>
      </c>
      <c r="D101" s="358"/>
      <c r="E101" s="358"/>
      <c r="F101" s="358"/>
      <c r="G101" s="359"/>
      <c r="H101" s="357" t="str">
        <f t="shared" si="12"/>
        <v>NÃO</v>
      </c>
      <c r="I101" s="357" t="s">
        <v>18</v>
      </c>
      <c r="J101" s="357" t="s">
        <v>18</v>
      </c>
      <c r="K101" s="357" t="s">
        <v>18</v>
      </c>
      <c r="L101" s="357" t="str">
        <f t="shared" si="13"/>
        <v>NÃO</v>
      </c>
      <c r="M101" s="357" t="s">
        <v>18</v>
      </c>
      <c r="N101" s="357" t="s">
        <v>18</v>
      </c>
      <c r="O101" s="357" t="s">
        <v>18</v>
      </c>
      <c r="P101" s="357" t="s">
        <v>18</v>
      </c>
      <c r="Q101" s="357" t="s">
        <v>18</v>
      </c>
      <c r="R101" s="357" t="s">
        <v>18</v>
      </c>
      <c r="S101" s="357" t="s">
        <v>18</v>
      </c>
      <c r="T101" s="357" t="s">
        <v>18</v>
      </c>
      <c r="U101" s="357" t="s">
        <v>18</v>
      </c>
      <c r="V101" s="357" t="s">
        <v>18</v>
      </c>
      <c r="W101" s="357" t="s">
        <v>18</v>
      </c>
      <c r="X101" s="357" t="s">
        <v>18</v>
      </c>
      <c r="Y101" s="357" t="s">
        <v>18</v>
      </c>
      <c r="Z101" s="357" t="str">
        <f t="shared" si="10"/>
        <v>NÃO</v>
      </c>
      <c r="AA101" s="357" t="str">
        <f t="shared" si="11"/>
        <v>NÃO</v>
      </c>
      <c r="AB101" s="357" t="s">
        <v>18</v>
      </c>
      <c r="AC101" s="358">
        <f t="shared" si="14"/>
        <v>0</v>
      </c>
      <c r="AD101" s="358">
        <f t="shared" si="15"/>
        <v>0</v>
      </c>
      <c r="AE101" s="342">
        <f t="shared" si="16"/>
        <v>0</v>
      </c>
    </row>
    <row r="102" spans="2:32" ht="15.75" customHeight="1">
      <c r="B102" s="367" t="s">
        <v>595</v>
      </c>
      <c r="C102" s="368" t="s">
        <v>553</v>
      </c>
      <c r="D102" s="358"/>
      <c r="E102" s="358"/>
      <c r="F102" s="358"/>
      <c r="G102" s="359"/>
      <c r="H102" s="357" t="str">
        <f t="shared" si="12"/>
        <v>NÃO</v>
      </c>
      <c r="I102" s="357" t="s">
        <v>18</v>
      </c>
      <c r="J102" s="357" t="s">
        <v>18</v>
      </c>
      <c r="K102" s="357" t="s">
        <v>18</v>
      </c>
      <c r="L102" s="357" t="str">
        <f t="shared" si="13"/>
        <v>NÃO</v>
      </c>
      <c r="M102" s="357" t="s">
        <v>18</v>
      </c>
      <c r="N102" s="357" t="s">
        <v>18</v>
      </c>
      <c r="O102" s="357" t="s">
        <v>18</v>
      </c>
      <c r="P102" s="357" t="s">
        <v>18</v>
      </c>
      <c r="Q102" s="357" t="s">
        <v>18</v>
      </c>
      <c r="R102" s="357" t="s">
        <v>18</v>
      </c>
      <c r="S102" s="357" t="s">
        <v>18</v>
      </c>
      <c r="T102" s="357" t="s">
        <v>18</v>
      </c>
      <c r="U102" s="357" t="s">
        <v>18</v>
      </c>
      <c r="V102" s="357" t="s">
        <v>18</v>
      </c>
      <c r="W102" s="357" t="s">
        <v>18</v>
      </c>
      <c r="X102" s="357" t="s">
        <v>18</v>
      </c>
      <c r="Y102" s="357" t="s">
        <v>18</v>
      </c>
      <c r="Z102" s="357" t="str">
        <f t="shared" si="10"/>
        <v>NÃO</v>
      </c>
      <c r="AA102" s="357" t="str">
        <f t="shared" si="11"/>
        <v>NÃO</v>
      </c>
      <c r="AB102" s="357" t="s">
        <v>18</v>
      </c>
      <c r="AC102" s="358">
        <f t="shared" si="14"/>
        <v>0</v>
      </c>
      <c r="AD102" s="358">
        <f t="shared" si="15"/>
        <v>0</v>
      </c>
      <c r="AE102" s="342">
        <f t="shared" si="16"/>
        <v>0</v>
      </c>
      <c r="AF102" s="358"/>
    </row>
    <row r="103" spans="2:32" ht="15.75" customHeight="1">
      <c r="B103" s="367" t="s">
        <v>596</v>
      </c>
      <c r="C103" s="368" t="s">
        <v>553</v>
      </c>
      <c r="D103" s="358"/>
      <c r="E103" s="358"/>
      <c r="F103" s="358"/>
      <c r="G103" s="359"/>
      <c r="H103" s="357" t="str">
        <f t="shared" si="12"/>
        <v>NÃO</v>
      </c>
      <c r="I103" s="357" t="s">
        <v>18</v>
      </c>
      <c r="J103" s="357" t="s">
        <v>18</v>
      </c>
      <c r="K103" s="357" t="s">
        <v>18</v>
      </c>
      <c r="L103" s="357" t="str">
        <f t="shared" si="13"/>
        <v>NÃO</v>
      </c>
      <c r="M103" s="357" t="s">
        <v>18</v>
      </c>
      <c r="N103" s="357" t="s">
        <v>18</v>
      </c>
      <c r="O103" s="357" t="s">
        <v>18</v>
      </c>
      <c r="P103" s="357" t="s">
        <v>18</v>
      </c>
      <c r="Q103" s="357" t="s">
        <v>18</v>
      </c>
      <c r="R103" s="357" t="s">
        <v>18</v>
      </c>
      <c r="S103" s="357" t="s">
        <v>18</v>
      </c>
      <c r="T103" s="357" t="s">
        <v>18</v>
      </c>
      <c r="U103" s="357" t="s">
        <v>18</v>
      </c>
      <c r="V103" s="357" t="s">
        <v>18</v>
      </c>
      <c r="W103" s="357" t="s">
        <v>18</v>
      </c>
      <c r="X103" s="357" t="s">
        <v>18</v>
      </c>
      <c r="Y103" s="357" t="s">
        <v>18</v>
      </c>
      <c r="Z103" s="357" t="str">
        <f t="shared" si="10"/>
        <v>NÃO</v>
      </c>
      <c r="AA103" s="357" t="str">
        <f t="shared" si="11"/>
        <v>NÃO</v>
      </c>
      <c r="AB103" s="357" t="s">
        <v>18</v>
      </c>
      <c r="AC103" s="358">
        <f t="shared" si="14"/>
        <v>0</v>
      </c>
      <c r="AD103" s="358">
        <f t="shared" si="15"/>
        <v>0</v>
      </c>
      <c r="AE103" s="342">
        <f t="shared" si="16"/>
        <v>0</v>
      </c>
    </row>
    <row r="104" spans="2:32" ht="15.75" customHeight="1">
      <c r="B104" s="367" t="s">
        <v>597</v>
      </c>
      <c r="C104" s="368" t="s">
        <v>553</v>
      </c>
      <c r="D104" s="358"/>
      <c r="E104" s="358"/>
      <c r="F104" s="358"/>
      <c r="G104" s="359"/>
      <c r="H104" s="357" t="str">
        <f t="shared" si="12"/>
        <v>NÃO</v>
      </c>
      <c r="I104" s="357" t="s">
        <v>18</v>
      </c>
      <c r="J104" s="357" t="s">
        <v>18</v>
      </c>
      <c r="K104" s="357" t="s">
        <v>18</v>
      </c>
      <c r="L104" s="357" t="str">
        <f t="shared" si="13"/>
        <v>NÃO</v>
      </c>
      <c r="M104" s="357" t="s">
        <v>18</v>
      </c>
      <c r="N104" s="357" t="s">
        <v>18</v>
      </c>
      <c r="O104" s="357" t="s">
        <v>18</v>
      </c>
      <c r="P104" s="357" t="s">
        <v>18</v>
      </c>
      <c r="Q104" s="357" t="s">
        <v>18</v>
      </c>
      <c r="R104" s="357" t="s">
        <v>18</v>
      </c>
      <c r="S104" s="357" t="s">
        <v>18</v>
      </c>
      <c r="T104" s="357" t="s">
        <v>18</v>
      </c>
      <c r="U104" s="357" t="s">
        <v>18</v>
      </c>
      <c r="V104" s="357" t="s">
        <v>18</v>
      </c>
      <c r="W104" s="357" t="s">
        <v>18</v>
      </c>
      <c r="X104" s="357" t="s">
        <v>18</v>
      </c>
      <c r="Y104" s="357" t="s">
        <v>18</v>
      </c>
      <c r="Z104" s="357" t="str">
        <f t="shared" si="10"/>
        <v>NÃO</v>
      </c>
      <c r="AA104" s="357" t="str">
        <f t="shared" si="11"/>
        <v>NÃO</v>
      </c>
      <c r="AB104" s="357" t="s">
        <v>18</v>
      </c>
      <c r="AC104" s="358">
        <f t="shared" si="14"/>
        <v>0</v>
      </c>
      <c r="AD104" s="358">
        <f t="shared" si="15"/>
        <v>0</v>
      </c>
      <c r="AE104" s="342">
        <f t="shared" si="16"/>
        <v>0</v>
      </c>
    </row>
    <row r="105" spans="2:32" ht="15.75" customHeight="1">
      <c r="B105" s="367" t="s">
        <v>597</v>
      </c>
      <c r="C105" s="368" t="s">
        <v>553</v>
      </c>
      <c r="D105" s="358"/>
      <c r="E105" s="358"/>
      <c r="F105" s="358"/>
      <c r="G105" s="359"/>
      <c r="H105" s="357" t="str">
        <f t="shared" si="12"/>
        <v>NÃO</v>
      </c>
      <c r="I105" s="357" t="s">
        <v>18</v>
      </c>
      <c r="J105" s="357" t="s">
        <v>18</v>
      </c>
      <c r="K105" s="357" t="s">
        <v>18</v>
      </c>
      <c r="L105" s="357" t="str">
        <f t="shared" si="13"/>
        <v>NÃO</v>
      </c>
      <c r="M105" s="357" t="s">
        <v>18</v>
      </c>
      <c r="N105" s="357" t="s">
        <v>18</v>
      </c>
      <c r="O105" s="357" t="s">
        <v>18</v>
      </c>
      <c r="P105" s="357" t="s">
        <v>18</v>
      </c>
      <c r="Q105" s="357" t="s">
        <v>18</v>
      </c>
      <c r="R105" s="357" t="s">
        <v>18</v>
      </c>
      <c r="S105" s="357" t="s">
        <v>18</v>
      </c>
      <c r="T105" s="357" t="s">
        <v>18</v>
      </c>
      <c r="U105" s="357" t="s">
        <v>18</v>
      </c>
      <c r="V105" s="357" t="s">
        <v>18</v>
      </c>
      <c r="W105" s="357" t="s">
        <v>18</v>
      </c>
      <c r="X105" s="357" t="s">
        <v>18</v>
      </c>
      <c r="Y105" s="357" t="s">
        <v>18</v>
      </c>
      <c r="Z105" s="357" t="str">
        <f t="shared" si="10"/>
        <v>NÃO</v>
      </c>
      <c r="AA105" s="357" t="str">
        <f t="shared" si="11"/>
        <v>NÃO</v>
      </c>
      <c r="AB105" s="357" t="s">
        <v>18</v>
      </c>
      <c r="AC105" s="358">
        <f t="shared" si="14"/>
        <v>0</v>
      </c>
      <c r="AD105" s="358">
        <f t="shared" si="15"/>
        <v>0</v>
      </c>
      <c r="AE105" s="342">
        <f t="shared" si="16"/>
        <v>0</v>
      </c>
    </row>
    <row r="106" spans="2:32" ht="15.75" customHeight="1">
      <c r="B106" s="367" t="s">
        <v>598</v>
      </c>
      <c r="C106" s="368" t="s">
        <v>553</v>
      </c>
      <c r="D106" s="358"/>
      <c r="E106" s="358"/>
      <c r="F106" s="358"/>
      <c r="G106" s="359"/>
      <c r="H106" s="357" t="str">
        <f t="shared" si="12"/>
        <v>NÃO</v>
      </c>
      <c r="I106" s="357" t="s">
        <v>18</v>
      </c>
      <c r="J106" s="357" t="s">
        <v>18</v>
      </c>
      <c r="K106" s="357" t="s">
        <v>18</v>
      </c>
      <c r="L106" s="357" t="str">
        <f t="shared" si="13"/>
        <v>NÃO</v>
      </c>
      <c r="M106" s="357" t="s">
        <v>18</v>
      </c>
      <c r="N106" s="357" t="s">
        <v>18</v>
      </c>
      <c r="O106" s="357" t="s">
        <v>18</v>
      </c>
      <c r="P106" s="357" t="s">
        <v>18</v>
      </c>
      <c r="Q106" s="357" t="s">
        <v>18</v>
      </c>
      <c r="R106" s="357" t="s">
        <v>18</v>
      </c>
      <c r="S106" s="357" t="s">
        <v>18</v>
      </c>
      <c r="T106" s="357" t="s">
        <v>18</v>
      </c>
      <c r="U106" s="357" t="s">
        <v>18</v>
      </c>
      <c r="V106" s="357" t="s">
        <v>18</v>
      </c>
      <c r="W106" s="357" t="s">
        <v>18</v>
      </c>
      <c r="X106" s="357" t="s">
        <v>18</v>
      </c>
      <c r="Y106" s="357" t="s">
        <v>18</v>
      </c>
      <c r="Z106" s="357" t="str">
        <f t="shared" si="10"/>
        <v>NÃO</v>
      </c>
      <c r="AA106" s="357" t="str">
        <f t="shared" si="11"/>
        <v>NÃO</v>
      </c>
      <c r="AB106" s="357" t="s">
        <v>18</v>
      </c>
      <c r="AC106" s="358">
        <f t="shared" si="14"/>
        <v>0</v>
      </c>
      <c r="AD106" s="358">
        <f t="shared" si="15"/>
        <v>0</v>
      </c>
      <c r="AE106" s="342">
        <f t="shared" si="16"/>
        <v>0</v>
      </c>
    </row>
    <row r="107" spans="2:32" ht="15.75" customHeight="1">
      <c r="B107" s="367" t="s">
        <v>599</v>
      </c>
      <c r="C107" s="368" t="s">
        <v>553</v>
      </c>
      <c r="D107" s="358"/>
      <c r="E107" s="358"/>
      <c r="F107" s="358"/>
      <c r="G107" s="359"/>
      <c r="H107" s="357" t="str">
        <f t="shared" si="12"/>
        <v>NÃO</v>
      </c>
      <c r="I107" s="357" t="s">
        <v>18</v>
      </c>
      <c r="J107" s="357" t="s">
        <v>18</v>
      </c>
      <c r="K107" s="357" t="s">
        <v>18</v>
      </c>
      <c r="L107" s="357" t="str">
        <f t="shared" si="13"/>
        <v>NÃO</v>
      </c>
      <c r="M107" s="357" t="s">
        <v>18</v>
      </c>
      <c r="N107" s="357" t="s">
        <v>18</v>
      </c>
      <c r="O107" s="357" t="s">
        <v>18</v>
      </c>
      <c r="P107" s="357" t="s">
        <v>18</v>
      </c>
      <c r="Q107" s="357" t="s">
        <v>18</v>
      </c>
      <c r="R107" s="357" t="s">
        <v>18</v>
      </c>
      <c r="S107" s="357" t="s">
        <v>18</v>
      </c>
      <c r="T107" s="357" t="s">
        <v>18</v>
      </c>
      <c r="U107" s="357" t="s">
        <v>18</v>
      </c>
      <c r="V107" s="357" t="s">
        <v>18</v>
      </c>
      <c r="W107" s="357" t="s">
        <v>18</v>
      </c>
      <c r="X107" s="357" t="s">
        <v>18</v>
      </c>
      <c r="Y107" s="357" t="s">
        <v>18</v>
      </c>
      <c r="Z107" s="357" t="str">
        <f t="shared" si="10"/>
        <v>NÃO</v>
      </c>
      <c r="AA107" s="357" t="str">
        <f t="shared" si="11"/>
        <v>NÃO</v>
      </c>
      <c r="AB107" s="357" t="s">
        <v>18</v>
      </c>
      <c r="AC107" s="358">
        <f t="shared" si="14"/>
        <v>0</v>
      </c>
      <c r="AD107" s="358">
        <f t="shared" si="15"/>
        <v>0</v>
      </c>
      <c r="AE107" s="342">
        <f t="shared" si="16"/>
        <v>0</v>
      </c>
    </row>
    <row r="108" spans="2:32" ht="15.75" customHeight="1">
      <c r="B108" s="367" t="s">
        <v>600</v>
      </c>
      <c r="C108" s="368" t="s">
        <v>553</v>
      </c>
      <c r="D108" s="358"/>
      <c r="E108" s="358"/>
      <c r="F108" s="358"/>
      <c r="G108" s="359"/>
      <c r="H108" s="357" t="str">
        <f t="shared" si="12"/>
        <v>NÃO</v>
      </c>
      <c r="I108" s="357" t="s">
        <v>18</v>
      </c>
      <c r="J108" s="357" t="s">
        <v>18</v>
      </c>
      <c r="K108" s="357" t="s">
        <v>18</v>
      </c>
      <c r="L108" s="357" t="str">
        <f t="shared" si="13"/>
        <v>NÃO</v>
      </c>
      <c r="M108" s="357" t="s">
        <v>18</v>
      </c>
      <c r="N108" s="357" t="s">
        <v>18</v>
      </c>
      <c r="O108" s="357" t="s">
        <v>18</v>
      </c>
      <c r="P108" s="357" t="s">
        <v>18</v>
      </c>
      <c r="Q108" s="357" t="s">
        <v>18</v>
      </c>
      <c r="R108" s="357" t="s">
        <v>18</v>
      </c>
      <c r="S108" s="357" t="s">
        <v>18</v>
      </c>
      <c r="T108" s="357" t="s">
        <v>18</v>
      </c>
      <c r="U108" s="357" t="s">
        <v>18</v>
      </c>
      <c r="V108" s="357" t="s">
        <v>18</v>
      </c>
      <c r="W108" s="357" t="s">
        <v>18</v>
      </c>
      <c r="X108" s="357" t="s">
        <v>18</v>
      </c>
      <c r="Y108" s="357" t="s">
        <v>18</v>
      </c>
      <c r="Z108" s="357" t="str">
        <f t="shared" si="10"/>
        <v>NÃO</v>
      </c>
      <c r="AA108" s="357" t="str">
        <f t="shared" si="11"/>
        <v>NÃO</v>
      </c>
      <c r="AB108" s="357" t="s">
        <v>18</v>
      </c>
      <c r="AC108" s="358">
        <f t="shared" si="14"/>
        <v>0</v>
      </c>
      <c r="AD108" s="358">
        <f t="shared" si="15"/>
        <v>0</v>
      </c>
      <c r="AE108" s="342">
        <f t="shared" si="16"/>
        <v>0</v>
      </c>
    </row>
    <row r="109" spans="2:32" ht="15.75" customHeight="1">
      <c r="B109" s="367" t="s">
        <v>601</v>
      </c>
      <c r="C109" s="368" t="s">
        <v>553</v>
      </c>
      <c r="D109" s="358"/>
      <c r="E109" s="358"/>
      <c r="F109" s="358"/>
      <c r="G109" s="359"/>
      <c r="H109" s="357" t="str">
        <f t="shared" si="12"/>
        <v>NÃO</v>
      </c>
      <c r="I109" s="357" t="s">
        <v>18</v>
      </c>
      <c r="J109" s="357" t="s">
        <v>18</v>
      </c>
      <c r="K109" s="357" t="s">
        <v>18</v>
      </c>
      <c r="L109" s="357" t="str">
        <f t="shared" si="13"/>
        <v>NÃO</v>
      </c>
      <c r="M109" s="357" t="s">
        <v>18</v>
      </c>
      <c r="N109" s="357" t="s">
        <v>18</v>
      </c>
      <c r="O109" s="357" t="s">
        <v>18</v>
      </c>
      <c r="P109" s="357" t="s">
        <v>18</v>
      </c>
      <c r="Q109" s="357" t="s">
        <v>18</v>
      </c>
      <c r="R109" s="357" t="s">
        <v>18</v>
      </c>
      <c r="S109" s="357" t="s">
        <v>18</v>
      </c>
      <c r="T109" s="357" t="s">
        <v>18</v>
      </c>
      <c r="U109" s="357" t="s">
        <v>18</v>
      </c>
      <c r="V109" s="357" t="s">
        <v>18</v>
      </c>
      <c r="W109" s="357" t="s">
        <v>18</v>
      </c>
      <c r="X109" s="357" t="s">
        <v>18</v>
      </c>
      <c r="Y109" s="357" t="s">
        <v>18</v>
      </c>
      <c r="Z109" s="357" t="str">
        <f t="shared" si="10"/>
        <v>NÃO</v>
      </c>
      <c r="AA109" s="357" t="str">
        <f t="shared" si="11"/>
        <v>NÃO</v>
      </c>
      <c r="AB109" s="357" t="s">
        <v>18</v>
      </c>
      <c r="AC109" s="358">
        <f t="shared" si="14"/>
        <v>0</v>
      </c>
      <c r="AD109" s="358">
        <f t="shared" si="15"/>
        <v>0</v>
      </c>
      <c r="AE109" s="342">
        <f t="shared" si="16"/>
        <v>0</v>
      </c>
    </row>
    <row r="110" spans="2:32" ht="15.75" customHeight="1">
      <c r="B110" s="367" t="s">
        <v>602</v>
      </c>
      <c r="C110" s="368" t="s">
        <v>553</v>
      </c>
      <c r="D110" s="358">
        <v>0.33333333333333298</v>
      </c>
      <c r="E110" s="358"/>
      <c r="F110" s="358"/>
      <c r="G110" s="359"/>
      <c r="H110" s="357" t="str">
        <f t="shared" si="12"/>
        <v>NÃO</v>
      </c>
      <c r="I110" s="357" t="s">
        <v>18</v>
      </c>
      <c r="J110" s="357" t="s">
        <v>18</v>
      </c>
      <c r="K110" s="357" t="s">
        <v>18</v>
      </c>
      <c r="L110" s="357" t="str">
        <f t="shared" si="13"/>
        <v>NÃO</v>
      </c>
      <c r="M110" s="357" t="s">
        <v>18</v>
      </c>
      <c r="N110" s="357" t="s">
        <v>18</v>
      </c>
      <c r="O110" s="357" t="s">
        <v>18</v>
      </c>
      <c r="P110" s="357" t="s">
        <v>18</v>
      </c>
      <c r="Q110" s="357" t="s">
        <v>18</v>
      </c>
      <c r="R110" s="357" t="s">
        <v>18</v>
      </c>
      <c r="S110" s="357" t="s">
        <v>18</v>
      </c>
      <c r="T110" s="357" t="s">
        <v>18</v>
      </c>
      <c r="U110" s="357" t="s">
        <v>18</v>
      </c>
      <c r="V110" s="357" t="s">
        <v>18</v>
      </c>
      <c r="W110" s="357" t="s">
        <v>18</v>
      </c>
      <c r="X110" s="357" t="s">
        <v>18</v>
      </c>
      <c r="Y110" s="357" t="s">
        <v>18</v>
      </c>
      <c r="Z110" s="357" t="str">
        <f t="shared" si="10"/>
        <v>NÃO</v>
      </c>
      <c r="AA110" s="357" t="s">
        <v>22</v>
      </c>
      <c r="AB110" s="357" t="s">
        <v>18</v>
      </c>
      <c r="AC110" s="358">
        <f t="shared" si="14"/>
        <v>0</v>
      </c>
      <c r="AD110" s="358">
        <f t="shared" si="15"/>
        <v>0</v>
      </c>
      <c r="AE110" s="342">
        <f t="shared" si="16"/>
        <v>1</v>
      </c>
    </row>
    <row r="111" spans="2:32" ht="15.75" customHeight="1">
      <c r="B111" s="367" t="s">
        <v>603</v>
      </c>
      <c r="C111" s="368" t="s">
        <v>553</v>
      </c>
      <c r="D111" s="358"/>
      <c r="E111" s="358"/>
      <c r="F111" s="358"/>
      <c r="G111" s="359"/>
      <c r="H111" s="357" t="str">
        <f t="shared" si="12"/>
        <v>NÃO</v>
      </c>
      <c r="I111" s="357" t="s">
        <v>18</v>
      </c>
      <c r="J111" s="357" t="s">
        <v>18</v>
      </c>
      <c r="K111" s="357" t="s">
        <v>18</v>
      </c>
      <c r="L111" s="357" t="str">
        <f t="shared" si="13"/>
        <v>NÃO</v>
      </c>
      <c r="M111" s="357" t="s">
        <v>18</v>
      </c>
      <c r="N111" s="357" t="s">
        <v>18</v>
      </c>
      <c r="O111" s="357" t="s">
        <v>18</v>
      </c>
      <c r="P111" s="357" t="s">
        <v>18</v>
      </c>
      <c r="Q111" s="357" t="s">
        <v>18</v>
      </c>
      <c r="R111" s="357" t="s">
        <v>18</v>
      </c>
      <c r="S111" s="357" t="s">
        <v>18</v>
      </c>
      <c r="T111" s="357" t="s">
        <v>18</v>
      </c>
      <c r="U111" s="357" t="s">
        <v>18</v>
      </c>
      <c r="V111" s="357" t="s">
        <v>18</v>
      </c>
      <c r="W111" s="357" t="s">
        <v>18</v>
      </c>
      <c r="X111" s="357" t="s">
        <v>18</v>
      </c>
      <c r="Y111" s="357" t="s">
        <v>18</v>
      </c>
      <c r="Z111" s="357" t="str">
        <f t="shared" si="10"/>
        <v>NÃO</v>
      </c>
      <c r="AA111" s="357" t="str">
        <f>$H$62</f>
        <v>NÃO</v>
      </c>
      <c r="AB111" s="357" t="s">
        <v>18</v>
      </c>
      <c r="AC111" s="358">
        <f t="shared" si="14"/>
        <v>0</v>
      </c>
      <c r="AD111" s="358">
        <f t="shared" si="15"/>
        <v>0</v>
      </c>
      <c r="AE111" s="342">
        <f t="shared" si="16"/>
        <v>0</v>
      </c>
    </row>
    <row r="112" spans="2:32" ht="15.75" customHeight="1">
      <c r="D112" s="343">
        <f>SUM(D3:D111)</f>
        <v>1.9756944444444433</v>
      </c>
      <c r="E112" s="343">
        <f>SUM(E3:E111)</f>
        <v>0.33680555555555541</v>
      </c>
      <c r="F112" s="343">
        <f>SUM(F3:F111)</f>
        <v>0.22986111111111102</v>
      </c>
      <c r="G112" s="343">
        <f>SUM(G3:G111)</f>
        <v>1.2500000000000007</v>
      </c>
      <c r="AB112" s="357"/>
      <c r="AC112" s="358">
        <f>SUM(AC3:AC111)</f>
        <v>1.736805555555555</v>
      </c>
      <c r="AD112" s="358">
        <f>SUM(AD3:AD111)</f>
        <v>0.98958333333333459</v>
      </c>
    </row>
    <row r="113" spans="8:28"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  <c r="AA113" s="369"/>
      <c r="AB113" s="369"/>
    </row>
    <row r="114" spans="8:28"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369"/>
      <c r="W114" s="369"/>
      <c r="X114" s="369"/>
      <c r="Y114" s="369"/>
      <c r="Z114" s="369"/>
      <c r="AA114" s="369"/>
      <c r="AB114" s="369"/>
    </row>
  </sheetData>
  <autoFilter ref="A1:AD112" xr:uid="{00000000-0009-0000-0000-000003000000}"/>
  <mergeCells count="48">
    <mergeCell ref="A6:A8"/>
    <mergeCell ref="D6:D8"/>
    <mergeCell ref="E6:E8"/>
    <mergeCell ref="F6:F8"/>
    <mergeCell ref="G6:G8"/>
    <mergeCell ref="G10:G11"/>
    <mergeCell ref="B12:B14"/>
    <mergeCell ref="C12:C14"/>
    <mergeCell ref="D12:D14"/>
    <mergeCell ref="E12:E14"/>
    <mergeCell ref="F12:F14"/>
    <mergeCell ref="G12:G14"/>
    <mergeCell ref="B10:B11"/>
    <mergeCell ref="C10:C11"/>
    <mergeCell ref="D10:D11"/>
    <mergeCell ref="E10:E11"/>
    <mergeCell ref="F10:F11"/>
    <mergeCell ref="G19:G21"/>
    <mergeCell ref="B25:B26"/>
    <mergeCell ref="C25:C26"/>
    <mergeCell ref="D25:D26"/>
    <mergeCell ref="E25:E26"/>
    <mergeCell ref="F25:F26"/>
    <mergeCell ref="G25:G26"/>
    <mergeCell ref="B19:B21"/>
    <mergeCell ref="C19:C21"/>
    <mergeCell ref="D19:D21"/>
    <mergeCell ref="E19:E21"/>
    <mergeCell ref="F19:F21"/>
    <mergeCell ref="A28:A30"/>
    <mergeCell ref="D28:D30"/>
    <mergeCell ref="E28:E30"/>
    <mergeCell ref="F28:F30"/>
    <mergeCell ref="G28:G30"/>
    <mergeCell ref="D37:D40"/>
    <mergeCell ref="E37:E40"/>
    <mergeCell ref="F37:F40"/>
    <mergeCell ref="G37:G40"/>
    <mergeCell ref="A63:A65"/>
    <mergeCell ref="D63:D65"/>
    <mergeCell ref="E63:E65"/>
    <mergeCell ref="F63:F65"/>
    <mergeCell ref="G63:G65"/>
    <mergeCell ref="A69:A75"/>
    <mergeCell ref="D69:D75"/>
    <mergeCell ref="E69:E75"/>
    <mergeCell ref="F69:F75"/>
    <mergeCell ref="G69:G75"/>
  </mergeCells>
  <conditionalFormatting sqref="D6:D66 D68:D8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:E66 E68:E83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2:G111">
    <cfRule type="cellIs" priority="108" operator="equal">
      <formula>"OP"</formula>
    </cfRule>
    <cfRule type="cellIs" priority="109" operator="equal">
      <formula>"NÃO"</formula>
    </cfRule>
    <cfRule type="cellIs" priority="110" operator="equal">
      <formula>"SIM"</formula>
    </cfRule>
  </conditionalFormatting>
  <conditionalFormatting sqref="H33:H34">
    <cfRule type="cellIs" dxfId="282" priority="38" operator="equal">
      <formula>"OP"</formula>
    </cfRule>
    <cfRule type="cellIs" dxfId="281" priority="39" operator="equal">
      <formula>"NÃO"</formula>
    </cfRule>
    <cfRule type="cellIs" dxfId="280" priority="40" operator="equal">
      <formula>"SIM"</formula>
    </cfRule>
  </conditionalFormatting>
  <conditionalFormatting sqref="H9:J15 L69:N77">
    <cfRule type="cellIs" priority="117" operator="equal">
      <formula>"OP"</formula>
    </cfRule>
    <cfRule type="cellIs" priority="118" operator="equal">
      <formula>"NÃO"</formula>
    </cfRule>
    <cfRule type="cellIs" priority="119" operator="equal">
      <formula>"SIM"</formula>
    </cfRule>
  </conditionalFormatting>
  <conditionalFormatting sqref="H40:J111">
    <cfRule type="cellIs" dxfId="279" priority="20" operator="equal">
      <formula>"OP"</formula>
    </cfRule>
    <cfRule type="cellIs" dxfId="278" priority="21" operator="equal">
      <formula>"NÃO"</formula>
    </cfRule>
    <cfRule type="cellIs" dxfId="277" priority="22" operator="equal">
      <formula>"SIM"</formula>
    </cfRule>
  </conditionalFormatting>
  <conditionalFormatting sqref="H8:K17">
    <cfRule type="cellIs" dxfId="276" priority="114" operator="equal">
      <formula>"OP"</formula>
    </cfRule>
    <cfRule type="cellIs" dxfId="275" priority="115" operator="equal">
      <formula>"NÃO"</formula>
    </cfRule>
    <cfRule type="cellIs" dxfId="274" priority="116" operator="equal">
      <formula>"SIM"</formula>
    </cfRule>
  </conditionalFormatting>
  <conditionalFormatting sqref="H25:K39">
    <cfRule type="cellIs" dxfId="273" priority="91" operator="equal">
      <formula>"OP"</formula>
    </cfRule>
    <cfRule type="cellIs" dxfId="272" priority="92" operator="equal">
      <formula>"NÃO"</formula>
    </cfRule>
    <cfRule type="cellIs" dxfId="271" priority="93" operator="equal">
      <formula>"SIM"</formula>
    </cfRule>
  </conditionalFormatting>
  <conditionalFormatting sqref="H64:K111">
    <cfRule type="cellIs" dxfId="270" priority="11" operator="equal">
      <formula>"OP"</formula>
    </cfRule>
    <cfRule type="cellIs" dxfId="269" priority="12" operator="equal">
      <formula>"NÃO"</formula>
    </cfRule>
    <cfRule type="cellIs" dxfId="268" priority="13" operator="equal">
      <formula>"SIM"</formula>
    </cfRule>
  </conditionalFormatting>
  <conditionalFormatting sqref="H55:U68">
    <cfRule type="cellIs" dxfId="267" priority="14" operator="equal">
      <formula>"OP"</formula>
    </cfRule>
    <cfRule type="cellIs" dxfId="266" priority="15" operator="equal">
      <formula>"NÃO"</formula>
    </cfRule>
    <cfRule type="cellIs" dxfId="265" priority="16" operator="equal">
      <formula>"SIM"</formula>
    </cfRule>
  </conditionalFormatting>
  <conditionalFormatting sqref="H68:AA111 AB68:AB112">
    <cfRule type="cellIs" dxfId="264" priority="103" operator="equal">
      <formula>"NÃO"</formula>
    </cfRule>
    <cfRule type="cellIs" dxfId="263" priority="104" operator="equal">
      <formula>"SIM"</formula>
    </cfRule>
  </conditionalFormatting>
  <conditionalFormatting sqref="H3:AB67">
    <cfRule type="cellIs" dxfId="262" priority="23" operator="equal">
      <formula>"NÃO"</formula>
    </cfRule>
    <cfRule type="cellIs" dxfId="261" priority="24" operator="equal">
      <formula>"SIM"</formula>
    </cfRule>
  </conditionalFormatting>
  <conditionalFormatting sqref="H31:AB31">
    <cfRule type="cellIs" dxfId="260" priority="34" operator="equal">
      <formula>"OP"</formula>
    </cfRule>
    <cfRule type="cellIs" dxfId="259" priority="35" operator="equal">
      <formula>"NÃO"</formula>
    </cfRule>
    <cfRule type="cellIs" dxfId="258" priority="36" operator="equal">
      <formula>"SIM"</formula>
    </cfRule>
  </conditionalFormatting>
  <conditionalFormatting sqref="H41:AB41">
    <cfRule type="cellIs" dxfId="257" priority="70" operator="equal">
      <formula>"OP"</formula>
    </cfRule>
    <cfRule type="cellIs" dxfId="256" priority="71" operator="equal">
      <formula>"NÃO"</formula>
    </cfRule>
    <cfRule type="cellIs" dxfId="255" priority="72" operator="equal">
      <formula>"SIM"</formula>
    </cfRule>
  </conditionalFormatting>
  <conditionalFormatting sqref="I34:J36">
    <cfRule type="cellIs" dxfId="254" priority="111" operator="equal">
      <formula>"OP"</formula>
    </cfRule>
    <cfRule type="cellIs" dxfId="253" priority="112" operator="equal">
      <formula>"NÃO"</formula>
    </cfRule>
    <cfRule type="cellIs" dxfId="252" priority="113" operator="equal">
      <formula>"SIM"</formula>
    </cfRule>
  </conditionalFormatting>
  <conditionalFormatting sqref="I32:K39">
    <cfRule type="cellIs" dxfId="251" priority="67" operator="equal">
      <formula>"OP"</formula>
    </cfRule>
    <cfRule type="cellIs" dxfId="250" priority="68" operator="equal">
      <formula>"NÃO"</formula>
    </cfRule>
    <cfRule type="cellIs" dxfId="249" priority="69" operator="equal">
      <formula>"SIM"</formula>
    </cfRule>
  </conditionalFormatting>
  <conditionalFormatting sqref="I45:U57">
    <cfRule type="cellIs" dxfId="248" priority="55" operator="equal">
      <formula>"OP"</formula>
    </cfRule>
    <cfRule type="cellIs" dxfId="247" priority="56" operator="equal">
      <formula>"NÃO"</formula>
    </cfRule>
    <cfRule type="cellIs" dxfId="246" priority="57" operator="equal">
      <formula>"SIM"</formula>
    </cfRule>
  </conditionalFormatting>
  <conditionalFormatting sqref="J3:J43">
    <cfRule type="cellIs" dxfId="245" priority="94" operator="equal">
      <formula>"OP"</formula>
    </cfRule>
    <cfRule type="cellIs" dxfId="244" priority="95" operator="equal">
      <formula>"NÃO"</formula>
    </cfRule>
    <cfRule type="cellIs" dxfId="243" priority="96" operator="equal">
      <formula>"SIM"</formula>
    </cfRule>
  </conditionalFormatting>
  <conditionalFormatting sqref="J24:K30">
    <cfRule type="cellIs" dxfId="242" priority="100" operator="equal">
      <formula>"OP"</formula>
    </cfRule>
    <cfRule type="cellIs" dxfId="241" priority="101" operator="equal">
      <formula>"NÃO"</formula>
    </cfRule>
    <cfRule type="cellIs" dxfId="240" priority="102" operator="equal">
      <formula>"SIM"</formula>
    </cfRule>
  </conditionalFormatting>
  <conditionalFormatting sqref="J40:K56">
    <cfRule type="cellIs" dxfId="239" priority="58" operator="equal">
      <formula>"OP"</formula>
    </cfRule>
    <cfRule type="cellIs" dxfId="238" priority="59" operator="equal">
      <formula>"NÃO"</formula>
    </cfRule>
    <cfRule type="cellIs" dxfId="237" priority="60" operator="equal">
      <formula>"SIM"</formula>
    </cfRule>
  </conditionalFormatting>
  <conditionalFormatting sqref="K69:K78 O69:O79 L78:M78 N78:N79 K79:M79">
    <cfRule type="cellIs" dxfId="236" priority="141" operator="equal">
      <formula>"OP"</formula>
    </cfRule>
    <cfRule type="cellIs" dxfId="235" priority="142" operator="equal">
      <formula>"NÃO"</formula>
    </cfRule>
    <cfRule type="cellIs" dxfId="234" priority="143" operator="equal">
      <formula>"SIM"</formula>
    </cfRule>
  </conditionalFormatting>
  <conditionalFormatting sqref="K29:L53">
    <cfRule type="cellIs" dxfId="233" priority="61" operator="equal">
      <formula>"OP"</formula>
    </cfRule>
    <cfRule type="cellIs" dxfId="232" priority="62" operator="equal">
      <formula>"NÃO"</formula>
    </cfRule>
    <cfRule type="cellIs" dxfId="231" priority="63" operator="equal">
      <formula>"SIM"</formula>
    </cfRule>
  </conditionalFormatting>
  <conditionalFormatting sqref="K68:O68">
    <cfRule type="cellIs" dxfId="230" priority="138" operator="equal">
      <formula>"OP"</formula>
    </cfRule>
    <cfRule type="cellIs" dxfId="229" priority="139" operator="equal">
      <formula>"NÃO"</formula>
    </cfRule>
    <cfRule type="cellIs" dxfId="228" priority="140" operator="equal">
      <formula>"SIM"</formula>
    </cfRule>
  </conditionalFormatting>
  <conditionalFormatting sqref="K80:O111">
    <cfRule type="cellIs" dxfId="227" priority="144" operator="equal">
      <formula>"OP"</formula>
    </cfRule>
    <cfRule type="cellIs" dxfId="226" priority="145" operator="equal">
      <formula>"NÃO"</formula>
    </cfRule>
    <cfRule type="cellIs" dxfId="225" priority="146" operator="equal">
      <formula>"SIM"</formula>
    </cfRule>
  </conditionalFormatting>
  <conditionalFormatting sqref="K54:P54">
    <cfRule type="cellIs" dxfId="224" priority="135" operator="equal">
      <formula>"OP"</formula>
    </cfRule>
    <cfRule type="cellIs" dxfId="223" priority="136" operator="equal">
      <formula>"NÃO"</formula>
    </cfRule>
    <cfRule type="cellIs" dxfId="222" priority="137" operator="equal">
      <formula>"SIM"</formula>
    </cfRule>
  </conditionalFormatting>
  <conditionalFormatting sqref="K55:U67">
    <cfRule type="cellIs" dxfId="221" priority="28" operator="equal">
      <formula>"OP"</formula>
    </cfRule>
    <cfRule type="cellIs" dxfId="220" priority="29" operator="equal">
      <formula>"NÃO"</formula>
    </cfRule>
    <cfRule type="cellIs" dxfId="219" priority="30" operator="equal">
      <formula>"SIM"</formula>
    </cfRule>
  </conditionalFormatting>
  <conditionalFormatting sqref="K40:V43">
    <cfRule type="cellIs" dxfId="218" priority="76" operator="equal">
      <formula>"OP"</formula>
    </cfRule>
    <cfRule type="cellIs" dxfId="217" priority="77" operator="equal">
      <formula>"NÃO"</formula>
    </cfRule>
    <cfRule type="cellIs" dxfId="216" priority="78" operator="equal">
      <formula>"SIM"</formula>
    </cfRule>
  </conditionalFormatting>
  <conditionalFormatting sqref="K3:AB23">
    <cfRule type="cellIs" dxfId="215" priority="120" operator="equal">
      <formula>"OP"</formula>
    </cfRule>
    <cfRule type="cellIs" dxfId="214" priority="121" operator="equal">
      <formula>"NÃO"</formula>
    </cfRule>
    <cfRule type="cellIs" dxfId="213" priority="122" operator="equal">
      <formula>"SIM"</formula>
    </cfRule>
  </conditionalFormatting>
  <conditionalFormatting sqref="L24:AB33 N34:Q39">
    <cfRule type="cellIs" dxfId="212" priority="123" operator="equal">
      <formula>"OP"</formula>
    </cfRule>
    <cfRule type="cellIs" dxfId="211" priority="124" operator="equal">
      <formula>"NÃO"</formula>
    </cfRule>
    <cfRule type="cellIs" dxfId="210" priority="125" operator="equal">
      <formula>"SIM"</formula>
    </cfRule>
  </conditionalFormatting>
  <conditionalFormatting sqref="M32:M39">
    <cfRule type="cellIs" dxfId="209" priority="64" operator="equal">
      <formula>"OP"</formula>
    </cfRule>
    <cfRule type="cellIs" dxfId="208" priority="65" operator="equal">
      <formula>"NÃO"</formula>
    </cfRule>
    <cfRule type="cellIs" dxfId="207" priority="66" operator="equal">
      <formula>"SIM"</formula>
    </cfRule>
  </conditionalFormatting>
  <conditionalFormatting sqref="M44">
    <cfRule type="cellIs" dxfId="206" priority="52" operator="equal">
      <formula>"OP"</formula>
    </cfRule>
    <cfRule type="cellIs" dxfId="205" priority="53" operator="equal">
      <formula>"NÃO"</formula>
    </cfRule>
    <cfRule type="cellIs" dxfId="204" priority="54" operator="equal">
      <formula>"SIM"</formula>
    </cfRule>
  </conditionalFormatting>
  <conditionalFormatting sqref="M44:P53 L46:V46">
    <cfRule type="cellIs" dxfId="203" priority="132" operator="equal">
      <formula>"OP"</formula>
    </cfRule>
    <cfRule type="cellIs" dxfId="202" priority="133" operator="equal">
      <formula>"NÃO"</formula>
    </cfRule>
    <cfRule type="cellIs" dxfId="201" priority="134" operator="equal">
      <formula>"SIM"</formula>
    </cfRule>
  </conditionalFormatting>
  <conditionalFormatting sqref="M27:U31">
    <cfRule type="cellIs" dxfId="200" priority="97" operator="equal">
      <formula>"OP"</formula>
    </cfRule>
    <cfRule type="cellIs" dxfId="199" priority="98" operator="equal">
      <formula>"NÃO"</formula>
    </cfRule>
    <cfRule type="cellIs" dxfId="198" priority="99" operator="equal">
      <formula>"SIM"</formula>
    </cfRule>
  </conditionalFormatting>
  <conditionalFormatting sqref="M68:U111">
    <cfRule type="cellIs" dxfId="197" priority="43" operator="equal">
      <formula>"OP"</formula>
    </cfRule>
    <cfRule type="cellIs" dxfId="196" priority="44" operator="equal">
      <formula>"NÃO"</formula>
    </cfRule>
    <cfRule type="cellIs" dxfId="195" priority="45" operator="equal">
      <formula>"SIM"</formula>
    </cfRule>
  </conditionalFormatting>
  <conditionalFormatting sqref="N33:P33">
    <cfRule type="cellIs" dxfId="194" priority="82" operator="equal">
      <formula>"OP"</formula>
    </cfRule>
    <cfRule type="cellIs" dxfId="193" priority="83" operator="equal">
      <formula>"NÃO"</formula>
    </cfRule>
    <cfRule type="cellIs" dxfId="192" priority="84" operator="equal">
      <formula>"SIM"</formula>
    </cfRule>
  </conditionalFormatting>
  <conditionalFormatting sqref="N34:U45">
    <cfRule type="cellIs" dxfId="191" priority="79" operator="equal">
      <formula>"OP"</formula>
    </cfRule>
    <cfRule type="cellIs" dxfId="190" priority="80" operator="equal">
      <formula>"NÃO"</formula>
    </cfRule>
    <cfRule type="cellIs" dxfId="189" priority="81" operator="equal">
      <formula>"SIM"</formula>
    </cfRule>
  </conditionalFormatting>
  <conditionalFormatting sqref="N32:V32">
    <cfRule type="cellIs" dxfId="188" priority="88" operator="equal">
      <formula>"OP"</formula>
    </cfRule>
    <cfRule type="cellIs" dxfId="187" priority="89" operator="equal">
      <formula>"NÃO"</formula>
    </cfRule>
    <cfRule type="cellIs" dxfId="186" priority="90" operator="equal">
      <formula>"SIM"</formula>
    </cfRule>
  </conditionalFormatting>
  <conditionalFormatting sqref="Q44:U54">
    <cfRule type="cellIs" dxfId="185" priority="147" operator="equal">
      <formula>"OP"</formula>
    </cfRule>
    <cfRule type="cellIs" dxfId="184" priority="148" operator="equal">
      <formula>"NÃO"</formula>
    </cfRule>
    <cfRule type="cellIs" dxfId="183" priority="149" operator="equal">
      <formula>"SIM"</formula>
    </cfRule>
  </conditionalFormatting>
  <conditionalFormatting sqref="R33:U39">
    <cfRule type="cellIs" dxfId="182" priority="85" operator="equal">
      <formula>"OP"</formula>
    </cfRule>
    <cfRule type="cellIs" dxfId="181" priority="86" operator="equal">
      <formula>"NÃO"</formula>
    </cfRule>
    <cfRule type="cellIs" dxfId="180" priority="87" operator="equal">
      <formula>"SIM"</formula>
    </cfRule>
  </conditionalFormatting>
  <conditionalFormatting sqref="V34:V39">
    <cfRule type="cellIs" dxfId="179" priority="126" operator="equal">
      <formula>"OP"</formula>
    </cfRule>
    <cfRule type="cellIs" dxfId="178" priority="127" operator="equal">
      <formula>"NÃO"</formula>
    </cfRule>
    <cfRule type="cellIs" dxfId="177" priority="128" operator="equal">
      <formula>"SIM"</formula>
    </cfRule>
  </conditionalFormatting>
  <conditionalFormatting sqref="V44:V111">
    <cfRule type="cellIs" dxfId="176" priority="17" operator="equal">
      <formula>"OP"</formula>
    </cfRule>
    <cfRule type="cellIs" dxfId="175" priority="18" operator="equal">
      <formula>"NÃO"</formula>
    </cfRule>
    <cfRule type="cellIs" dxfId="174" priority="19" operator="equal">
      <formula>"SIM"</formula>
    </cfRule>
  </conditionalFormatting>
  <conditionalFormatting sqref="V37:AB43">
    <cfRule type="cellIs" dxfId="173" priority="73" operator="equal">
      <formula>"OP"</formula>
    </cfRule>
    <cfRule type="cellIs" dxfId="172" priority="74" operator="equal">
      <formula>"NÃO"</formula>
    </cfRule>
    <cfRule type="cellIs" dxfId="171" priority="75" operator="equal">
      <formula>"SIM"</formula>
    </cfRule>
  </conditionalFormatting>
  <conditionalFormatting sqref="V47:AB51">
    <cfRule type="cellIs" dxfId="170" priority="49" operator="equal">
      <formula>"OP"</formula>
    </cfRule>
    <cfRule type="cellIs" dxfId="169" priority="50" operator="equal">
      <formula>"NÃO"</formula>
    </cfRule>
    <cfRule type="cellIs" dxfId="168" priority="51" operator="equal">
      <formula>"SIM"</formula>
    </cfRule>
  </conditionalFormatting>
  <conditionalFormatting sqref="W62:W78">
    <cfRule type="cellIs" dxfId="167" priority="25" operator="equal">
      <formula>"OP"</formula>
    </cfRule>
    <cfRule type="cellIs" dxfId="166" priority="26" operator="equal">
      <formula>"NÃO"</formula>
    </cfRule>
    <cfRule type="cellIs" dxfId="165" priority="27" operator="equal">
      <formula>"SIM"</formula>
    </cfRule>
  </conditionalFormatting>
  <conditionalFormatting sqref="W57:Y111">
    <cfRule type="cellIs" dxfId="164" priority="8" operator="equal">
      <formula>"OP"</formula>
    </cfRule>
    <cfRule type="cellIs" dxfId="163" priority="9" operator="equal">
      <formula>"NÃO"</formula>
    </cfRule>
    <cfRule type="cellIs" dxfId="162" priority="10" operator="equal">
      <formula>"SIM"</formula>
    </cfRule>
  </conditionalFormatting>
  <conditionalFormatting sqref="W79:AA111">
    <cfRule type="cellIs" dxfId="161" priority="150" operator="equal">
      <formula>"OP"</formula>
    </cfRule>
    <cfRule type="cellIs" dxfId="160" priority="151" operator="equal">
      <formula>"NÃO"</formula>
    </cfRule>
    <cfRule type="cellIs" dxfId="159" priority="152" operator="equal">
      <formula>"SIM"</formula>
    </cfRule>
  </conditionalFormatting>
  <conditionalFormatting sqref="W27:AB56 W57:AA57">
    <cfRule type="cellIs" dxfId="158" priority="46" operator="equal">
      <formula>"OP"</formula>
    </cfRule>
    <cfRule type="cellIs" dxfId="157" priority="47" operator="equal">
      <formula>"NÃO"</formula>
    </cfRule>
    <cfRule type="cellIs" dxfId="156" priority="48" operator="equal">
      <formula>"SIM"</formula>
    </cfRule>
  </conditionalFormatting>
  <conditionalFormatting sqref="X62:Y62">
    <cfRule type="cellIs" dxfId="155" priority="105" operator="equal">
      <formula>"OP"</formula>
    </cfRule>
    <cfRule type="cellIs" dxfId="154" priority="106" operator="equal">
      <formula>"NÃO"</formula>
    </cfRule>
    <cfRule type="cellIs" dxfId="153" priority="107" operator="equal">
      <formula>"SIM"</formula>
    </cfRule>
  </conditionalFormatting>
  <conditionalFormatting sqref="X63:AA78">
    <cfRule type="cellIs" dxfId="152" priority="31" operator="equal">
      <formula>"OP"</formula>
    </cfRule>
    <cfRule type="cellIs" dxfId="151" priority="32" operator="equal">
      <formula>"NÃO"</formula>
    </cfRule>
    <cfRule type="cellIs" dxfId="150" priority="33" operator="equal">
      <formula>"SIM"</formula>
    </cfRule>
  </conditionalFormatting>
  <conditionalFormatting sqref="Z57:AA62">
    <cfRule type="cellIs" dxfId="149" priority="129" operator="equal">
      <formula>"OP"</formula>
    </cfRule>
    <cfRule type="cellIs" dxfId="148" priority="130" operator="equal">
      <formula>"NÃO"</formula>
    </cfRule>
    <cfRule type="cellIs" dxfId="147" priority="131" operator="equal">
      <formula>"SIM"</formula>
    </cfRule>
  </conditionalFormatting>
  <conditionalFormatting sqref="AB57:AB112">
    <cfRule type="cellIs" dxfId="146" priority="5" operator="equal">
      <formula>"OP"</formula>
    </cfRule>
    <cfRule type="cellIs" dxfId="145" priority="6" operator="equal">
      <formula>"NÃO"</formula>
    </cfRule>
    <cfRule type="cellIs" dxfId="144" priority="7" operator="equal">
      <formula>"SIM"</formula>
    </cfRule>
  </conditionalFormatting>
  <conditionalFormatting sqref="AF25">
    <cfRule type="cellIs" dxfId="143" priority="37" operator="greaterThan">
      <formula>0</formula>
    </cfRule>
  </conditionalFormatting>
  <dataValidations count="1">
    <dataValidation type="list" allowBlank="1" showInputMessage="1" showErrorMessage="1" sqref="H3:AB111 AB112" xr:uid="{00000000-0002-0000-0300-000000000000}">
      <formula1>"SIM,NÃO,OP"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I120"/>
  <sheetViews>
    <sheetView zoomScale="90" zoomScaleNormal="90" workbookViewId="0">
      <pane ySplit="2" topLeftCell="A10" activePane="bottomLeft" state="frozen"/>
      <selection pane="bottomLeft" activeCell="D10" sqref="D10"/>
    </sheetView>
  </sheetViews>
  <sheetFormatPr defaultColWidth="8.5703125" defaultRowHeight="15"/>
  <cols>
    <col min="1" max="1" width="52.28515625" style="341" customWidth="1"/>
    <col min="2" max="2" width="50.140625" style="342" customWidth="1"/>
    <col min="3" max="3" width="9.85546875" style="342" customWidth="1"/>
    <col min="4" max="5" width="20.28515625" style="343" customWidth="1"/>
    <col min="6" max="6" width="25.140625" style="343" customWidth="1"/>
    <col min="7" max="7" width="20.28515625" style="343" customWidth="1"/>
    <col min="8" max="9" width="8.7109375" style="342" customWidth="1"/>
    <col min="10" max="12" width="11.28515625" style="342" customWidth="1"/>
    <col min="13" max="13" width="8.7109375" style="342" customWidth="1"/>
    <col min="14" max="14" width="7.7109375" style="342" customWidth="1"/>
    <col min="15" max="15" width="8.7109375" style="342" customWidth="1"/>
    <col min="16" max="16" width="7.7109375" style="342" customWidth="1"/>
    <col min="17" max="19" width="8.7109375" style="342" customWidth="1"/>
    <col min="20" max="20" width="7.7109375" style="342" customWidth="1"/>
    <col min="21" max="22" width="8.7109375" style="342" customWidth="1"/>
    <col min="23" max="24" width="7.7109375" style="342" customWidth="1"/>
    <col min="25" max="28" width="8.7109375" style="342" customWidth="1"/>
    <col min="29" max="29" width="12.42578125" style="343" customWidth="1"/>
    <col min="30" max="30" width="9.140625" style="343" customWidth="1"/>
    <col min="31" max="31" width="12" style="342" customWidth="1"/>
    <col min="32" max="1023" width="8.5703125" style="342"/>
    <col min="1024" max="16384" width="8.5703125" style="341"/>
  </cols>
  <sheetData>
    <row r="1" spans="1:31">
      <c r="H1" s="342" t="str">
        <f>Resumo!$A15</f>
        <v>x</v>
      </c>
      <c r="I1" s="3">
        <f>Resumo!$A16</f>
        <v>0</v>
      </c>
      <c r="J1" s="342" t="e">
        <f>Resumo!#REF!</f>
        <v>#REF!</v>
      </c>
      <c r="K1" s="342" t="e">
        <f>Resumo!#REF!</f>
        <v>#REF!</v>
      </c>
      <c r="L1" s="342" t="e">
        <f>Resumo!#REF!</f>
        <v>#REF!</v>
      </c>
      <c r="M1" s="342">
        <f>Resumo!A17</f>
        <v>0</v>
      </c>
      <c r="N1" s="342">
        <f>Resumo!A18</f>
        <v>0</v>
      </c>
      <c r="O1" s="342">
        <f>Resumo!A19</f>
        <v>0</v>
      </c>
      <c r="P1" s="342" t="e">
        <f>Resumo!#REF!</f>
        <v>#REF!</v>
      </c>
      <c r="Q1" s="342">
        <f>Resumo!A20</f>
        <v>0</v>
      </c>
      <c r="R1" s="342" t="e">
        <f>Resumo!#REF!</f>
        <v>#REF!</v>
      </c>
      <c r="S1" s="342">
        <f>Resumo!A21</f>
        <v>0</v>
      </c>
      <c r="T1" s="342">
        <f>Resumo!A22</f>
        <v>0</v>
      </c>
      <c r="U1" s="342" t="e">
        <f>Resumo!#REF!</f>
        <v>#REF!</v>
      </c>
      <c r="V1" s="342" t="str">
        <f>Resumo!A23</f>
        <v>x</v>
      </c>
      <c r="W1" s="342">
        <f>Resumo!A24</f>
        <v>0</v>
      </c>
      <c r="X1" s="342">
        <f>Resumo!A25</f>
        <v>0</v>
      </c>
      <c r="Y1" s="342" t="e">
        <f>Resumo!#REF!</f>
        <v>#REF!</v>
      </c>
      <c r="Z1" s="342">
        <f>Resumo!A26</f>
        <v>0</v>
      </c>
      <c r="AA1" s="342">
        <f>Resumo!A27</f>
        <v>0</v>
      </c>
      <c r="AB1" s="342" t="e">
        <f>Resumo!#REF!</f>
        <v>#REF!</v>
      </c>
    </row>
    <row r="2" spans="1:31" ht="77.25" customHeight="1">
      <c r="A2" s="341" t="s">
        <v>429</v>
      </c>
      <c r="B2" s="344" t="s">
        <v>430</v>
      </c>
      <c r="C2" s="344" t="s">
        <v>431</v>
      </c>
      <c r="D2" s="346" t="s">
        <v>604</v>
      </c>
      <c r="E2" s="346" t="s">
        <v>433</v>
      </c>
      <c r="F2" s="346" t="s">
        <v>605</v>
      </c>
      <c r="G2" s="346" t="s">
        <v>606</v>
      </c>
      <c r="H2" s="347" t="s">
        <v>48</v>
      </c>
      <c r="I2" s="348" t="s">
        <v>49</v>
      </c>
      <c r="J2" s="348" t="s">
        <v>436</v>
      </c>
      <c r="K2" s="348" t="s">
        <v>437</v>
      </c>
      <c r="L2" s="348" t="s">
        <v>438</v>
      </c>
      <c r="M2" s="349" t="s">
        <v>50</v>
      </c>
      <c r="N2" s="349" t="s">
        <v>51</v>
      </c>
      <c r="O2" s="350" t="s">
        <v>52</v>
      </c>
      <c r="P2" s="350" t="s">
        <v>439</v>
      </c>
      <c r="Q2" s="350" t="s">
        <v>53</v>
      </c>
      <c r="R2" s="351" t="s">
        <v>440</v>
      </c>
      <c r="S2" s="351" t="s">
        <v>54</v>
      </c>
      <c r="T2" s="351" t="s">
        <v>55</v>
      </c>
      <c r="U2" s="351" t="s">
        <v>441</v>
      </c>
      <c r="V2" s="351" t="s">
        <v>56</v>
      </c>
      <c r="W2" s="351" t="s">
        <v>57</v>
      </c>
      <c r="X2" s="351" t="s">
        <v>58</v>
      </c>
      <c r="Y2" s="351" t="s">
        <v>442</v>
      </c>
      <c r="Z2" s="351" t="s">
        <v>59</v>
      </c>
      <c r="AA2" s="351" t="s">
        <v>60</v>
      </c>
      <c r="AB2" s="351" t="s">
        <v>443</v>
      </c>
      <c r="AC2" s="352" t="s">
        <v>444</v>
      </c>
      <c r="AD2" s="343" t="s">
        <v>445</v>
      </c>
    </row>
    <row r="3" spans="1:31">
      <c r="A3" s="353"/>
      <c r="B3" s="354" t="s">
        <v>446</v>
      </c>
      <c r="C3" s="354" t="s">
        <v>447</v>
      </c>
      <c r="D3" s="373">
        <v>0</v>
      </c>
      <c r="E3" s="373"/>
      <c r="F3" s="373">
        <v>0</v>
      </c>
      <c r="G3" s="356">
        <v>0</v>
      </c>
      <c r="H3" s="357" t="s">
        <v>22</v>
      </c>
      <c r="I3" s="357" t="s">
        <v>22</v>
      </c>
      <c r="J3" s="357" t="s">
        <v>22</v>
      </c>
      <c r="K3" s="357" t="s">
        <v>22</v>
      </c>
      <c r="L3" s="357" t="s">
        <v>22</v>
      </c>
      <c r="M3" s="357" t="s">
        <v>22</v>
      </c>
      <c r="N3" s="357" t="s">
        <v>22</v>
      </c>
      <c r="O3" s="357" t="s">
        <v>22</v>
      </c>
      <c r="P3" s="357" t="s">
        <v>22</v>
      </c>
      <c r="Q3" s="357" t="s">
        <v>22</v>
      </c>
      <c r="R3" s="357" t="s">
        <v>22</v>
      </c>
      <c r="S3" s="357" t="s">
        <v>22</v>
      </c>
      <c r="T3" s="357" t="s">
        <v>22</v>
      </c>
      <c r="U3" s="357" t="s">
        <v>22</v>
      </c>
      <c r="V3" s="357" t="s">
        <v>22</v>
      </c>
      <c r="W3" s="357" t="s">
        <v>22</v>
      </c>
      <c r="X3" s="357" t="s">
        <v>22</v>
      </c>
      <c r="Y3" s="357" t="s">
        <v>22</v>
      </c>
      <c r="Z3" s="357" t="s">
        <v>22</v>
      </c>
      <c r="AA3" s="357" t="s">
        <v>22</v>
      </c>
      <c r="AB3" s="357" t="s">
        <v>22</v>
      </c>
      <c r="AC3" s="358">
        <f t="shared" ref="AC3:AC34" si="0">IF(COUNTIFS($H$1:$AB$1,"x",H3:AB3,"SIM")&gt;0,(D3+E3+F3),0)</f>
        <v>0</v>
      </c>
      <c r="AD3" s="358">
        <f t="shared" ref="AD3:AD34" si="1">IF(COUNTIFS($H$1:$AB$1,"x",H3:AB3,"SIM")&gt;0,G3)</f>
        <v>0</v>
      </c>
      <c r="AE3" s="342">
        <f t="shared" ref="AE3:AE34" si="2">COUNTIFS(H3:AB3,"SIM")</f>
        <v>21</v>
      </c>
    </row>
    <row r="4" spans="1:31">
      <c r="A4" s="353"/>
      <c r="B4" s="354" t="s">
        <v>448</v>
      </c>
      <c r="C4" s="354" t="s">
        <v>447</v>
      </c>
      <c r="D4" s="374">
        <v>0</v>
      </c>
      <c r="E4" s="373"/>
      <c r="F4" s="373">
        <v>0</v>
      </c>
      <c r="G4" s="356">
        <v>0</v>
      </c>
      <c r="H4" s="357" t="s">
        <v>22</v>
      </c>
      <c r="I4" s="357" t="s">
        <v>22</v>
      </c>
      <c r="J4" s="357" t="s">
        <v>22</v>
      </c>
      <c r="K4" s="357" t="s">
        <v>22</v>
      </c>
      <c r="L4" s="357" t="s">
        <v>22</v>
      </c>
      <c r="M4" s="357" t="s">
        <v>22</v>
      </c>
      <c r="N4" s="357" t="s">
        <v>22</v>
      </c>
      <c r="O4" s="357" t="s">
        <v>22</v>
      </c>
      <c r="P4" s="357" t="s">
        <v>22</v>
      </c>
      <c r="Q4" s="357" t="s">
        <v>22</v>
      </c>
      <c r="R4" s="357" t="s">
        <v>22</v>
      </c>
      <c r="S4" s="357" t="s">
        <v>22</v>
      </c>
      <c r="T4" s="357" t="s">
        <v>22</v>
      </c>
      <c r="U4" s="357" t="s">
        <v>22</v>
      </c>
      <c r="V4" s="357" t="s">
        <v>22</v>
      </c>
      <c r="W4" s="357" t="s">
        <v>22</v>
      </c>
      <c r="X4" s="357" t="s">
        <v>22</v>
      </c>
      <c r="Y4" s="357" t="s">
        <v>22</v>
      </c>
      <c r="Z4" s="357" t="s">
        <v>22</v>
      </c>
      <c r="AA4" s="357" t="s">
        <v>22</v>
      </c>
      <c r="AB4" s="357" t="s">
        <v>22</v>
      </c>
      <c r="AC4" s="358">
        <f t="shared" si="0"/>
        <v>0</v>
      </c>
      <c r="AD4" s="358">
        <f t="shared" si="1"/>
        <v>0</v>
      </c>
      <c r="AE4" s="342">
        <f t="shared" si="2"/>
        <v>21</v>
      </c>
    </row>
    <row r="5" spans="1:31">
      <c r="A5" s="353"/>
      <c r="B5" s="354" t="s">
        <v>449</v>
      </c>
      <c r="C5" s="354" t="s">
        <v>447</v>
      </c>
      <c r="D5" s="374">
        <v>0</v>
      </c>
      <c r="E5" s="373"/>
      <c r="F5" s="373">
        <v>0</v>
      </c>
      <c r="G5" s="356">
        <v>0</v>
      </c>
      <c r="H5" s="357" t="s">
        <v>22</v>
      </c>
      <c r="I5" s="357" t="s">
        <v>22</v>
      </c>
      <c r="J5" s="357" t="s">
        <v>22</v>
      </c>
      <c r="K5" s="357" t="s">
        <v>22</v>
      </c>
      <c r="L5" s="357" t="s">
        <v>22</v>
      </c>
      <c r="M5" s="357" t="s">
        <v>22</v>
      </c>
      <c r="N5" s="357" t="s">
        <v>22</v>
      </c>
      <c r="O5" s="357" t="s">
        <v>22</v>
      </c>
      <c r="P5" s="357" t="s">
        <v>22</v>
      </c>
      <c r="Q5" s="357" t="s">
        <v>22</v>
      </c>
      <c r="R5" s="357" t="s">
        <v>22</v>
      </c>
      <c r="S5" s="357" t="s">
        <v>22</v>
      </c>
      <c r="T5" s="357" t="s">
        <v>22</v>
      </c>
      <c r="U5" s="357" t="s">
        <v>22</v>
      </c>
      <c r="V5" s="357" t="s">
        <v>22</v>
      </c>
      <c r="W5" s="357" t="s">
        <v>22</v>
      </c>
      <c r="X5" s="357" t="s">
        <v>22</v>
      </c>
      <c r="Y5" s="357" t="s">
        <v>22</v>
      </c>
      <c r="Z5" s="357" t="s">
        <v>22</v>
      </c>
      <c r="AA5" s="357" t="s">
        <v>22</v>
      </c>
      <c r="AB5" s="357" t="s">
        <v>22</v>
      </c>
      <c r="AC5" s="358">
        <f t="shared" si="0"/>
        <v>0</v>
      </c>
      <c r="AD5" s="358">
        <f t="shared" si="1"/>
        <v>0</v>
      </c>
      <c r="AE5" s="342">
        <f t="shared" si="2"/>
        <v>21</v>
      </c>
    </row>
    <row r="6" spans="1:31">
      <c r="A6" s="610" t="s">
        <v>450</v>
      </c>
      <c r="B6" s="354" t="s">
        <v>451</v>
      </c>
      <c r="C6" s="354" t="s">
        <v>447</v>
      </c>
      <c r="D6" s="637"/>
      <c r="E6" s="638"/>
      <c r="F6" s="639"/>
      <c r="G6" s="602">
        <v>2.0833333333333301E-2</v>
      </c>
      <c r="H6" s="357" t="s">
        <v>22</v>
      </c>
      <c r="I6" s="357" t="s">
        <v>22</v>
      </c>
      <c r="J6" s="357" t="s">
        <v>22</v>
      </c>
      <c r="K6" s="357" t="s">
        <v>22</v>
      </c>
      <c r="L6" s="357" t="s">
        <v>22</v>
      </c>
      <c r="M6" s="357" t="s">
        <v>22</v>
      </c>
      <c r="N6" s="357" t="s">
        <v>22</v>
      </c>
      <c r="O6" s="357" t="s">
        <v>22</v>
      </c>
      <c r="P6" s="357" t="s">
        <v>22</v>
      </c>
      <c r="Q6" s="357" t="s">
        <v>22</v>
      </c>
      <c r="R6" s="357" t="s">
        <v>22</v>
      </c>
      <c r="S6" s="357" t="s">
        <v>22</v>
      </c>
      <c r="T6" s="357" t="s">
        <v>22</v>
      </c>
      <c r="U6" s="357" t="s">
        <v>22</v>
      </c>
      <c r="V6" s="357" t="s">
        <v>22</v>
      </c>
      <c r="W6" s="357" t="s">
        <v>22</v>
      </c>
      <c r="X6" s="357" t="s">
        <v>22</v>
      </c>
      <c r="Y6" s="357" t="s">
        <v>22</v>
      </c>
      <c r="Z6" s="357" t="s">
        <v>22</v>
      </c>
      <c r="AA6" s="357" t="s">
        <v>22</v>
      </c>
      <c r="AB6" s="357" t="s">
        <v>22</v>
      </c>
      <c r="AC6" s="358">
        <f t="shared" si="0"/>
        <v>0</v>
      </c>
      <c r="AD6" s="358">
        <f t="shared" si="1"/>
        <v>2.0833333333333301E-2</v>
      </c>
      <c r="AE6" s="342">
        <f t="shared" si="2"/>
        <v>21</v>
      </c>
    </row>
    <row r="7" spans="1:31">
      <c r="A7" s="610"/>
      <c r="B7" s="354" t="s">
        <v>452</v>
      </c>
      <c r="C7" s="354" t="s">
        <v>447</v>
      </c>
      <c r="D7" s="637"/>
      <c r="E7" s="638"/>
      <c r="F7" s="638"/>
      <c r="G7" s="602"/>
      <c r="H7" s="357" t="s">
        <v>22</v>
      </c>
      <c r="I7" s="357" t="s">
        <v>22</v>
      </c>
      <c r="J7" s="357" t="s">
        <v>22</v>
      </c>
      <c r="K7" s="357" t="s">
        <v>22</v>
      </c>
      <c r="L7" s="357" t="s">
        <v>22</v>
      </c>
      <c r="M7" s="357" t="s">
        <v>22</v>
      </c>
      <c r="N7" s="357" t="s">
        <v>22</v>
      </c>
      <c r="O7" s="357" t="s">
        <v>22</v>
      </c>
      <c r="P7" s="357" t="s">
        <v>22</v>
      </c>
      <c r="Q7" s="357" t="s">
        <v>22</v>
      </c>
      <c r="R7" s="357" t="s">
        <v>22</v>
      </c>
      <c r="S7" s="357" t="s">
        <v>22</v>
      </c>
      <c r="T7" s="357" t="s">
        <v>22</v>
      </c>
      <c r="U7" s="357" t="s">
        <v>22</v>
      </c>
      <c r="V7" s="357" t="s">
        <v>22</v>
      </c>
      <c r="W7" s="357" t="s">
        <v>22</v>
      </c>
      <c r="X7" s="357" t="s">
        <v>22</v>
      </c>
      <c r="Y7" s="357" t="s">
        <v>22</v>
      </c>
      <c r="Z7" s="357" t="s">
        <v>22</v>
      </c>
      <c r="AA7" s="357" t="s">
        <v>22</v>
      </c>
      <c r="AB7" s="357" t="s">
        <v>22</v>
      </c>
      <c r="AC7" s="358">
        <f t="shared" si="0"/>
        <v>0</v>
      </c>
      <c r="AD7" s="358">
        <f t="shared" si="1"/>
        <v>0</v>
      </c>
      <c r="AE7" s="342">
        <f t="shared" si="2"/>
        <v>21</v>
      </c>
    </row>
    <row r="8" spans="1:31">
      <c r="A8" s="610"/>
      <c r="B8" s="354" t="s">
        <v>453</v>
      </c>
      <c r="C8" s="354" t="s">
        <v>447</v>
      </c>
      <c r="D8" s="637"/>
      <c r="E8" s="638"/>
      <c r="F8" s="639"/>
      <c r="G8" s="602"/>
      <c r="H8" s="357" t="s">
        <v>22</v>
      </c>
      <c r="I8" s="357" t="s">
        <v>22</v>
      </c>
      <c r="J8" s="357" t="s">
        <v>22</v>
      </c>
      <c r="K8" s="357" t="s">
        <v>22</v>
      </c>
      <c r="L8" s="357" t="s">
        <v>22</v>
      </c>
      <c r="M8" s="357" t="s">
        <v>22</v>
      </c>
      <c r="N8" s="357" t="s">
        <v>22</v>
      </c>
      <c r="O8" s="357" t="s">
        <v>22</v>
      </c>
      <c r="P8" s="357" t="s">
        <v>22</v>
      </c>
      <c r="Q8" s="357" t="s">
        <v>22</v>
      </c>
      <c r="R8" s="357" t="s">
        <v>22</v>
      </c>
      <c r="S8" s="357" t="s">
        <v>22</v>
      </c>
      <c r="T8" s="357" t="s">
        <v>22</v>
      </c>
      <c r="U8" s="357" t="s">
        <v>22</v>
      </c>
      <c r="V8" s="357" t="s">
        <v>22</v>
      </c>
      <c r="W8" s="357" t="s">
        <v>22</v>
      </c>
      <c r="X8" s="357" t="s">
        <v>22</v>
      </c>
      <c r="Y8" s="357" t="s">
        <v>22</v>
      </c>
      <c r="Z8" s="357" t="s">
        <v>22</v>
      </c>
      <c r="AA8" s="357" t="s">
        <v>22</v>
      </c>
      <c r="AB8" s="357" t="s">
        <v>22</v>
      </c>
      <c r="AC8" s="358">
        <f t="shared" si="0"/>
        <v>0</v>
      </c>
      <c r="AD8" s="358">
        <f t="shared" si="1"/>
        <v>0</v>
      </c>
      <c r="AE8" s="342">
        <f t="shared" si="2"/>
        <v>21</v>
      </c>
    </row>
    <row r="9" spans="1:31">
      <c r="A9" s="341" t="s">
        <v>454</v>
      </c>
      <c r="B9" s="354" t="s">
        <v>455</v>
      </c>
      <c r="C9" s="354" t="s">
        <v>447</v>
      </c>
      <c r="D9" s="376"/>
      <c r="E9" s="376"/>
      <c r="F9" s="377"/>
      <c r="G9" s="359">
        <v>1.0416666666666701E-2</v>
      </c>
      <c r="H9" s="357" t="s">
        <v>22</v>
      </c>
      <c r="I9" s="357" t="s">
        <v>22</v>
      </c>
      <c r="J9" s="357" t="s">
        <v>22</v>
      </c>
      <c r="K9" s="357" t="s">
        <v>22</v>
      </c>
      <c r="L9" s="357" t="s">
        <v>22</v>
      </c>
      <c r="M9" s="357" t="s">
        <v>22</v>
      </c>
      <c r="N9" s="357" t="s">
        <v>22</v>
      </c>
      <c r="O9" s="357" t="s">
        <v>22</v>
      </c>
      <c r="P9" s="357" t="s">
        <v>22</v>
      </c>
      <c r="Q9" s="357" t="s">
        <v>22</v>
      </c>
      <c r="R9" s="357" t="s">
        <v>22</v>
      </c>
      <c r="S9" s="357" t="s">
        <v>22</v>
      </c>
      <c r="T9" s="357" t="s">
        <v>22</v>
      </c>
      <c r="U9" s="357" t="s">
        <v>22</v>
      </c>
      <c r="V9" s="357" t="s">
        <v>22</v>
      </c>
      <c r="W9" s="357" t="s">
        <v>22</v>
      </c>
      <c r="X9" s="357" t="s">
        <v>22</v>
      </c>
      <c r="Y9" s="357" t="s">
        <v>22</v>
      </c>
      <c r="Z9" s="357" t="s">
        <v>22</v>
      </c>
      <c r="AA9" s="357" t="s">
        <v>22</v>
      </c>
      <c r="AB9" s="357" t="s">
        <v>22</v>
      </c>
      <c r="AC9" s="358">
        <f t="shared" si="0"/>
        <v>0</v>
      </c>
      <c r="AD9" s="358">
        <f t="shared" si="1"/>
        <v>1.0416666666666701E-2</v>
      </c>
      <c r="AE9" s="342">
        <f t="shared" si="2"/>
        <v>21</v>
      </c>
    </row>
    <row r="10" spans="1:31" ht="15" customHeight="1">
      <c r="A10" s="341" t="s">
        <v>456</v>
      </c>
      <c r="B10" s="607" t="s">
        <v>457</v>
      </c>
      <c r="C10" s="607" t="s">
        <v>447</v>
      </c>
      <c r="D10" s="640"/>
      <c r="E10" s="641"/>
      <c r="F10" s="639"/>
      <c r="G10" s="602">
        <v>2.0833333333333301E-2</v>
      </c>
      <c r="H10" s="357" t="s">
        <v>22</v>
      </c>
      <c r="I10" s="357" t="s">
        <v>22</v>
      </c>
      <c r="J10" s="357" t="s">
        <v>22</v>
      </c>
      <c r="K10" s="357" t="s">
        <v>22</v>
      </c>
      <c r="L10" s="357" t="s">
        <v>22</v>
      </c>
      <c r="M10" s="357" t="s">
        <v>22</v>
      </c>
      <c r="N10" s="357" t="s">
        <v>22</v>
      </c>
      <c r="O10" s="357" t="s">
        <v>22</v>
      </c>
      <c r="P10" s="357" t="s">
        <v>22</v>
      </c>
      <c r="Q10" s="357" t="s">
        <v>22</v>
      </c>
      <c r="R10" s="357" t="s">
        <v>22</v>
      </c>
      <c r="S10" s="357" t="s">
        <v>22</v>
      </c>
      <c r="T10" s="357" t="s">
        <v>22</v>
      </c>
      <c r="U10" s="357" t="s">
        <v>22</v>
      </c>
      <c r="V10" s="357" t="s">
        <v>22</v>
      </c>
      <c r="W10" s="357" t="s">
        <v>22</v>
      </c>
      <c r="X10" s="357" t="s">
        <v>22</v>
      </c>
      <c r="Y10" s="357" t="s">
        <v>22</v>
      </c>
      <c r="Z10" s="357" t="s">
        <v>22</v>
      </c>
      <c r="AA10" s="357" t="s">
        <v>22</v>
      </c>
      <c r="AB10" s="357" t="s">
        <v>22</v>
      </c>
      <c r="AC10" s="358">
        <f t="shared" si="0"/>
        <v>0</v>
      </c>
      <c r="AD10" s="358">
        <f t="shared" si="1"/>
        <v>2.0833333333333301E-2</v>
      </c>
      <c r="AE10" s="342">
        <f t="shared" si="2"/>
        <v>21</v>
      </c>
    </row>
    <row r="11" spans="1:31">
      <c r="A11" s="341" t="s">
        <v>458</v>
      </c>
      <c r="B11" s="607"/>
      <c r="C11" s="607"/>
      <c r="D11" s="640"/>
      <c r="E11" s="641"/>
      <c r="F11" s="639"/>
      <c r="G11" s="602"/>
      <c r="H11" s="357" t="s">
        <v>22</v>
      </c>
      <c r="I11" s="357" t="s">
        <v>22</v>
      </c>
      <c r="J11" s="357" t="s">
        <v>22</v>
      </c>
      <c r="K11" s="357" t="s">
        <v>22</v>
      </c>
      <c r="L11" s="357" t="s">
        <v>22</v>
      </c>
      <c r="M11" s="357" t="s">
        <v>22</v>
      </c>
      <c r="N11" s="357" t="s">
        <v>22</v>
      </c>
      <c r="O11" s="357" t="s">
        <v>22</v>
      </c>
      <c r="P11" s="357" t="s">
        <v>22</v>
      </c>
      <c r="Q11" s="357" t="s">
        <v>22</v>
      </c>
      <c r="R11" s="357" t="s">
        <v>22</v>
      </c>
      <c r="S11" s="357" t="s">
        <v>22</v>
      </c>
      <c r="T11" s="357" t="s">
        <v>22</v>
      </c>
      <c r="U11" s="357" t="s">
        <v>22</v>
      </c>
      <c r="V11" s="357" t="s">
        <v>22</v>
      </c>
      <c r="W11" s="357" t="s">
        <v>22</v>
      </c>
      <c r="X11" s="357" t="s">
        <v>22</v>
      </c>
      <c r="Y11" s="357" t="s">
        <v>22</v>
      </c>
      <c r="Z11" s="357" t="s">
        <v>22</v>
      </c>
      <c r="AA11" s="357" t="s">
        <v>22</v>
      </c>
      <c r="AB11" s="357" t="s">
        <v>22</v>
      </c>
      <c r="AC11" s="358">
        <f t="shared" si="0"/>
        <v>0</v>
      </c>
      <c r="AD11" s="358">
        <f t="shared" si="1"/>
        <v>0</v>
      </c>
      <c r="AE11" s="342">
        <f t="shared" si="2"/>
        <v>21</v>
      </c>
    </row>
    <row r="12" spans="1:31" ht="15" customHeight="1">
      <c r="A12" s="341" t="s">
        <v>459</v>
      </c>
      <c r="B12" s="607" t="s">
        <v>460</v>
      </c>
      <c r="C12" s="607" t="s">
        <v>447</v>
      </c>
      <c r="D12" s="642">
        <v>0.66666666666666696</v>
      </c>
      <c r="E12" s="642"/>
      <c r="F12" s="643"/>
      <c r="G12" s="597">
        <v>2.0833333333333301E-2</v>
      </c>
      <c r="H12" s="357" t="s">
        <v>22</v>
      </c>
      <c r="I12" s="357" t="s">
        <v>22</v>
      </c>
      <c r="J12" s="357" t="s">
        <v>22</v>
      </c>
      <c r="K12" s="357" t="s">
        <v>22</v>
      </c>
      <c r="L12" s="357" t="s">
        <v>22</v>
      </c>
      <c r="M12" s="357" t="s">
        <v>22</v>
      </c>
      <c r="N12" s="357" t="s">
        <v>22</v>
      </c>
      <c r="O12" s="357" t="s">
        <v>22</v>
      </c>
      <c r="P12" s="357" t="s">
        <v>22</v>
      </c>
      <c r="Q12" s="357" t="s">
        <v>22</v>
      </c>
      <c r="R12" s="357" t="s">
        <v>22</v>
      </c>
      <c r="S12" s="357" t="s">
        <v>22</v>
      </c>
      <c r="T12" s="357" t="s">
        <v>22</v>
      </c>
      <c r="U12" s="357" t="s">
        <v>22</v>
      </c>
      <c r="V12" s="357" t="s">
        <v>22</v>
      </c>
      <c r="W12" s="357" t="s">
        <v>22</v>
      </c>
      <c r="X12" s="357" t="s">
        <v>22</v>
      </c>
      <c r="Y12" s="357" t="s">
        <v>22</v>
      </c>
      <c r="Z12" s="357" t="s">
        <v>22</v>
      </c>
      <c r="AA12" s="357" t="s">
        <v>22</v>
      </c>
      <c r="AB12" s="357" t="s">
        <v>22</v>
      </c>
      <c r="AC12" s="358">
        <f t="shared" si="0"/>
        <v>0.66666666666666696</v>
      </c>
      <c r="AD12" s="358">
        <f t="shared" si="1"/>
        <v>2.0833333333333301E-2</v>
      </c>
      <c r="AE12" s="342">
        <f t="shared" si="2"/>
        <v>21</v>
      </c>
    </row>
    <row r="13" spans="1:31">
      <c r="A13" s="341" t="s">
        <v>461</v>
      </c>
      <c r="B13" s="607"/>
      <c r="C13" s="607"/>
      <c r="D13" s="607"/>
      <c r="E13" s="607"/>
      <c r="F13" s="607"/>
      <c r="G13" s="597"/>
      <c r="H13" s="357" t="s">
        <v>22</v>
      </c>
      <c r="I13" s="357" t="s">
        <v>22</v>
      </c>
      <c r="J13" s="357" t="s">
        <v>22</v>
      </c>
      <c r="K13" s="357" t="s">
        <v>22</v>
      </c>
      <c r="L13" s="357" t="s">
        <v>22</v>
      </c>
      <c r="M13" s="357" t="s">
        <v>22</v>
      </c>
      <c r="N13" s="357" t="s">
        <v>22</v>
      </c>
      <c r="O13" s="357" t="s">
        <v>22</v>
      </c>
      <c r="P13" s="357" t="s">
        <v>22</v>
      </c>
      <c r="Q13" s="357" t="s">
        <v>22</v>
      </c>
      <c r="R13" s="357" t="s">
        <v>22</v>
      </c>
      <c r="S13" s="357" t="s">
        <v>22</v>
      </c>
      <c r="T13" s="357" t="s">
        <v>22</v>
      </c>
      <c r="U13" s="357" t="s">
        <v>22</v>
      </c>
      <c r="V13" s="357" t="s">
        <v>22</v>
      </c>
      <c r="W13" s="357" t="s">
        <v>22</v>
      </c>
      <c r="X13" s="357" t="s">
        <v>22</v>
      </c>
      <c r="Y13" s="357" t="s">
        <v>22</v>
      </c>
      <c r="Z13" s="357" t="s">
        <v>22</v>
      </c>
      <c r="AA13" s="357" t="s">
        <v>22</v>
      </c>
      <c r="AB13" s="357" t="s">
        <v>22</v>
      </c>
      <c r="AC13" s="358">
        <f t="shared" si="0"/>
        <v>0</v>
      </c>
      <c r="AD13" s="358">
        <f t="shared" si="1"/>
        <v>0</v>
      </c>
      <c r="AE13" s="342">
        <f t="shared" si="2"/>
        <v>21</v>
      </c>
    </row>
    <row r="14" spans="1:31">
      <c r="A14" s="341" t="s">
        <v>462</v>
      </c>
      <c r="B14" s="607"/>
      <c r="C14" s="607"/>
      <c r="D14" s="642"/>
      <c r="E14" s="642"/>
      <c r="F14" s="643"/>
      <c r="G14" s="597"/>
      <c r="H14" s="357" t="s">
        <v>22</v>
      </c>
      <c r="I14" s="357" t="s">
        <v>22</v>
      </c>
      <c r="J14" s="357" t="s">
        <v>22</v>
      </c>
      <c r="K14" s="357" t="s">
        <v>22</v>
      </c>
      <c r="L14" s="357" t="s">
        <v>22</v>
      </c>
      <c r="M14" s="357" t="s">
        <v>22</v>
      </c>
      <c r="N14" s="357" t="s">
        <v>22</v>
      </c>
      <c r="O14" s="357" t="s">
        <v>22</v>
      </c>
      <c r="P14" s="357" t="s">
        <v>22</v>
      </c>
      <c r="Q14" s="357" t="s">
        <v>22</v>
      </c>
      <c r="R14" s="357" t="s">
        <v>22</v>
      </c>
      <c r="S14" s="357" t="s">
        <v>22</v>
      </c>
      <c r="T14" s="357" t="s">
        <v>22</v>
      </c>
      <c r="U14" s="357" t="s">
        <v>22</v>
      </c>
      <c r="V14" s="357" t="s">
        <v>22</v>
      </c>
      <c r="W14" s="357" t="s">
        <v>22</v>
      </c>
      <c r="X14" s="357" t="s">
        <v>22</v>
      </c>
      <c r="Y14" s="357" t="s">
        <v>22</v>
      </c>
      <c r="Z14" s="357" t="s">
        <v>22</v>
      </c>
      <c r="AA14" s="357" t="s">
        <v>22</v>
      </c>
      <c r="AB14" s="357" t="s">
        <v>22</v>
      </c>
      <c r="AC14" s="358">
        <f t="shared" si="0"/>
        <v>0</v>
      </c>
      <c r="AD14" s="358">
        <f t="shared" si="1"/>
        <v>0</v>
      </c>
      <c r="AE14" s="342">
        <f t="shared" si="2"/>
        <v>21</v>
      </c>
    </row>
    <row r="15" spans="1:31">
      <c r="A15" s="341" t="s">
        <v>463</v>
      </c>
      <c r="B15" s="354" t="s">
        <v>464</v>
      </c>
      <c r="C15" s="354" t="s">
        <v>447</v>
      </c>
      <c r="D15" s="378"/>
      <c r="E15" s="379"/>
      <c r="F15" s="377"/>
      <c r="G15" s="359">
        <v>1.0416666666666701E-2</v>
      </c>
      <c r="H15" s="357" t="s">
        <v>22</v>
      </c>
      <c r="I15" s="357" t="s">
        <v>22</v>
      </c>
      <c r="J15" s="357" t="s">
        <v>22</v>
      </c>
      <c r="K15" s="357" t="s">
        <v>22</v>
      </c>
      <c r="L15" s="357" t="s">
        <v>22</v>
      </c>
      <c r="M15" s="357" t="s">
        <v>22</v>
      </c>
      <c r="N15" s="357" t="s">
        <v>22</v>
      </c>
      <c r="O15" s="357" t="s">
        <v>22</v>
      </c>
      <c r="P15" s="357" t="s">
        <v>22</v>
      </c>
      <c r="Q15" s="357" t="s">
        <v>22</v>
      </c>
      <c r="R15" s="357" t="s">
        <v>22</v>
      </c>
      <c r="S15" s="357" t="s">
        <v>22</v>
      </c>
      <c r="T15" s="357" t="s">
        <v>22</v>
      </c>
      <c r="U15" s="357" t="s">
        <v>22</v>
      </c>
      <c r="V15" s="357" t="s">
        <v>22</v>
      </c>
      <c r="W15" s="357" t="s">
        <v>22</v>
      </c>
      <c r="X15" s="357" t="s">
        <v>22</v>
      </c>
      <c r="Y15" s="357" t="s">
        <v>22</v>
      </c>
      <c r="Z15" s="357" t="s">
        <v>22</v>
      </c>
      <c r="AA15" s="357" t="s">
        <v>22</v>
      </c>
      <c r="AB15" s="357" t="s">
        <v>22</v>
      </c>
      <c r="AC15" s="358">
        <f t="shared" si="0"/>
        <v>0</v>
      </c>
      <c r="AD15" s="358">
        <f t="shared" si="1"/>
        <v>1.0416666666666701E-2</v>
      </c>
      <c r="AE15" s="342">
        <f t="shared" si="2"/>
        <v>21</v>
      </c>
    </row>
    <row r="16" spans="1:31">
      <c r="A16" s="341" t="s">
        <v>465</v>
      </c>
      <c r="B16" s="361" t="s">
        <v>466</v>
      </c>
      <c r="C16" s="362" t="s">
        <v>467</v>
      </c>
      <c r="D16" s="376"/>
      <c r="E16" s="376"/>
      <c r="F16" s="377"/>
      <c r="G16" s="359"/>
      <c r="H16" s="357" t="s">
        <v>18</v>
      </c>
      <c r="I16" s="357" t="s">
        <v>22</v>
      </c>
      <c r="J16" s="357" t="s">
        <v>22</v>
      </c>
      <c r="K16" s="357" t="s">
        <v>22</v>
      </c>
      <c r="L16" s="357" t="s">
        <v>22</v>
      </c>
      <c r="M16" s="357" t="s">
        <v>22</v>
      </c>
      <c r="N16" s="357" t="s">
        <v>22</v>
      </c>
      <c r="O16" s="357" t="s">
        <v>22</v>
      </c>
      <c r="P16" s="357" t="s">
        <v>22</v>
      </c>
      <c r="Q16" s="357" t="s">
        <v>22</v>
      </c>
      <c r="R16" s="357" t="s">
        <v>22</v>
      </c>
      <c r="S16" s="357" t="s">
        <v>22</v>
      </c>
      <c r="T16" s="357" t="s">
        <v>22</v>
      </c>
      <c r="U16" s="357" t="s">
        <v>22</v>
      </c>
      <c r="V16" s="357" t="s">
        <v>22</v>
      </c>
      <c r="W16" s="357" t="s">
        <v>22</v>
      </c>
      <c r="X16" s="357" t="s">
        <v>22</v>
      </c>
      <c r="Y16" s="357" t="s">
        <v>22</v>
      </c>
      <c r="Z16" s="357" t="s">
        <v>22</v>
      </c>
      <c r="AA16" s="357" t="s">
        <v>22</v>
      </c>
      <c r="AB16" s="357" t="s">
        <v>22</v>
      </c>
      <c r="AC16" s="358">
        <f t="shared" si="0"/>
        <v>0</v>
      </c>
      <c r="AD16" s="358">
        <f t="shared" si="1"/>
        <v>0</v>
      </c>
      <c r="AE16" s="342">
        <f t="shared" si="2"/>
        <v>20</v>
      </c>
    </row>
    <row r="17" spans="1:32">
      <c r="A17" s="341" t="s">
        <v>468</v>
      </c>
      <c r="B17" s="361" t="s">
        <v>469</v>
      </c>
      <c r="C17" s="362" t="s">
        <v>467</v>
      </c>
      <c r="D17" s="376"/>
      <c r="E17" s="376"/>
      <c r="F17" s="377"/>
      <c r="G17" s="359"/>
      <c r="H17" s="357" t="s">
        <v>18</v>
      </c>
      <c r="I17" s="357" t="s">
        <v>22</v>
      </c>
      <c r="J17" s="357" t="s">
        <v>22</v>
      </c>
      <c r="K17" s="357" t="s">
        <v>22</v>
      </c>
      <c r="L17" s="357" t="s">
        <v>22</v>
      </c>
      <c r="M17" s="357" t="s">
        <v>22</v>
      </c>
      <c r="N17" s="357" t="s">
        <v>22</v>
      </c>
      <c r="O17" s="357" t="s">
        <v>22</v>
      </c>
      <c r="P17" s="357" t="s">
        <v>22</v>
      </c>
      <c r="Q17" s="357" t="s">
        <v>22</v>
      </c>
      <c r="R17" s="357" t="s">
        <v>22</v>
      </c>
      <c r="S17" s="357" t="s">
        <v>22</v>
      </c>
      <c r="T17" s="357" t="s">
        <v>22</v>
      </c>
      <c r="U17" s="357" t="s">
        <v>22</v>
      </c>
      <c r="V17" s="357" t="s">
        <v>22</v>
      </c>
      <c r="W17" s="357" t="s">
        <v>22</v>
      </c>
      <c r="X17" s="357" t="s">
        <v>22</v>
      </c>
      <c r="Y17" s="357" t="s">
        <v>22</v>
      </c>
      <c r="Z17" s="357" t="s">
        <v>22</v>
      </c>
      <c r="AA17" s="357" t="s">
        <v>22</v>
      </c>
      <c r="AB17" s="357" t="s">
        <v>22</v>
      </c>
      <c r="AC17" s="358">
        <f t="shared" si="0"/>
        <v>0</v>
      </c>
      <c r="AD17" s="358">
        <f t="shared" si="1"/>
        <v>0</v>
      </c>
      <c r="AE17" s="342">
        <f t="shared" si="2"/>
        <v>20</v>
      </c>
    </row>
    <row r="18" spans="1:32">
      <c r="A18" s="341" t="s">
        <v>470</v>
      </c>
      <c r="B18" s="361" t="s">
        <v>471</v>
      </c>
      <c r="C18" s="362" t="s">
        <v>447</v>
      </c>
      <c r="D18" s="378"/>
      <c r="E18" s="379"/>
      <c r="F18" s="377"/>
      <c r="G18" s="359">
        <v>1.7361111111111101E-2</v>
      </c>
      <c r="H18" s="357" t="s">
        <v>22</v>
      </c>
      <c r="I18" s="357" t="s">
        <v>22</v>
      </c>
      <c r="J18" s="357" t="s">
        <v>22</v>
      </c>
      <c r="K18" s="357" t="s">
        <v>22</v>
      </c>
      <c r="L18" s="357" t="s">
        <v>22</v>
      </c>
      <c r="M18" s="357" t="s">
        <v>22</v>
      </c>
      <c r="N18" s="357" t="s">
        <v>22</v>
      </c>
      <c r="O18" s="357" t="s">
        <v>22</v>
      </c>
      <c r="P18" s="357" t="s">
        <v>22</v>
      </c>
      <c r="Q18" s="357" t="s">
        <v>22</v>
      </c>
      <c r="R18" s="357" t="s">
        <v>22</v>
      </c>
      <c r="S18" s="357" t="s">
        <v>22</v>
      </c>
      <c r="T18" s="357" t="s">
        <v>22</v>
      </c>
      <c r="U18" s="357" t="s">
        <v>22</v>
      </c>
      <c r="V18" s="357" t="s">
        <v>22</v>
      </c>
      <c r="W18" s="357" t="s">
        <v>22</v>
      </c>
      <c r="X18" s="357" t="s">
        <v>22</v>
      </c>
      <c r="Y18" s="357" t="s">
        <v>22</v>
      </c>
      <c r="Z18" s="357" t="s">
        <v>22</v>
      </c>
      <c r="AA18" s="357" t="s">
        <v>22</v>
      </c>
      <c r="AB18" s="357" t="s">
        <v>22</v>
      </c>
      <c r="AC18" s="358">
        <f t="shared" si="0"/>
        <v>0</v>
      </c>
      <c r="AD18" s="358">
        <f t="shared" si="1"/>
        <v>1.7361111111111101E-2</v>
      </c>
      <c r="AE18" s="342">
        <f t="shared" si="2"/>
        <v>21</v>
      </c>
    </row>
    <row r="19" spans="1:32" ht="15" customHeight="1">
      <c r="A19" s="341" t="s">
        <v>472</v>
      </c>
      <c r="B19" s="607" t="s">
        <v>473</v>
      </c>
      <c r="C19" s="608" t="s">
        <v>447</v>
      </c>
      <c r="D19" s="644"/>
      <c r="E19" s="645"/>
      <c r="F19" s="646"/>
      <c r="G19" s="602">
        <v>4.1666666666666699E-2</v>
      </c>
      <c r="H19" s="357" t="s">
        <v>22</v>
      </c>
      <c r="I19" s="357" t="s">
        <v>22</v>
      </c>
      <c r="J19" s="357" t="s">
        <v>22</v>
      </c>
      <c r="K19" s="357" t="s">
        <v>22</v>
      </c>
      <c r="L19" s="357" t="s">
        <v>22</v>
      </c>
      <c r="M19" s="357" t="s">
        <v>22</v>
      </c>
      <c r="N19" s="357" t="s">
        <v>22</v>
      </c>
      <c r="O19" s="357" t="s">
        <v>22</v>
      </c>
      <c r="P19" s="357" t="s">
        <v>22</v>
      </c>
      <c r="Q19" s="357" t="s">
        <v>22</v>
      </c>
      <c r="R19" s="357" t="s">
        <v>22</v>
      </c>
      <c r="S19" s="357" t="s">
        <v>22</v>
      </c>
      <c r="T19" s="357" t="s">
        <v>22</v>
      </c>
      <c r="U19" s="357" t="s">
        <v>22</v>
      </c>
      <c r="V19" s="357" t="s">
        <v>22</v>
      </c>
      <c r="W19" s="357" t="s">
        <v>22</v>
      </c>
      <c r="X19" s="357" t="s">
        <v>22</v>
      </c>
      <c r="Y19" s="357" t="s">
        <v>22</v>
      </c>
      <c r="Z19" s="357" t="s">
        <v>22</v>
      </c>
      <c r="AA19" s="357" t="s">
        <v>22</v>
      </c>
      <c r="AB19" s="357" t="s">
        <v>22</v>
      </c>
      <c r="AC19" s="358">
        <f t="shared" si="0"/>
        <v>0</v>
      </c>
      <c r="AD19" s="358">
        <f t="shared" si="1"/>
        <v>4.1666666666666699E-2</v>
      </c>
      <c r="AE19" s="342">
        <f t="shared" si="2"/>
        <v>21</v>
      </c>
    </row>
    <row r="20" spans="1:32">
      <c r="A20" s="341" t="s">
        <v>474</v>
      </c>
      <c r="B20" s="607"/>
      <c r="C20" s="608"/>
      <c r="D20" s="644"/>
      <c r="E20" s="645"/>
      <c r="F20" s="646"/>
      <c r="G20" s="602"/>
      <c r="H20" s="357" t="s">
        <v>22</v>
      </c>
      <c r="I20" s="357" t="s">
        <v>22</v>
      </c>
      <c r="J20" s="357" t="s">
        <v>22</v>
      </c>
      <c r="K20" s="357" t="s">
        <v>22</v>
      </c>
      <c r="L20" s="357" t="s">
        <v>22</v>
      </c>
      <c r="M20" s="357" t="s">
        <v>22</v>
      </c>
      <c r="N20" s="357" t="s">
        <v>22</v>
      </c>
      <c r="O20" s="357" t="s">
        <v>22</v>
      </c>
      <c r="P20" s="357" t="s">
        <v>22</v>
      </c>
      <c r="Q20" s="357" t="s">
        <v>22</v>
      </c>
      <c r="R20" s="357" t="s">
        <v>22</v>
      </c>
      <c r="S20" s="357" t="s">
        <v>22</v>
      </c>
      <c r="T20" s="357" t="s">
        <v>22</v>
      </c>
      <c r="U20" s="357" t="s">
        <v>22</v>
      </c>
      <c r="V20" s="357" t="s">
        <v>22</v>
      </c>
      <c r="W20" s="357" t="s">
        <v>22</v>
      </c>
      <c r="X20" s="357" t="s">
        <v>22</v>
      </c>
      <c r="Y20" s="357" t="s">
        <v>22</v>
      </c>
      <c r="Z20" s="357" t="s">
        <v>22</v>
      </c>
      <c r="AA20" s="357" t="s">
        <v>22</v>
      </c>
      <c r="AB20" s="357" t="s">
        <v>22</v>
      </c>
      <c r="AC20" s="358">
        <f t="shared" si="0"/>
        <v>0</v>
      </c>
      <c r="AD20" s="358">
        <f t="shared" si="1"/>
        <v>0</v>
      </c>
      <c r="AE20" s="342">
        <f t="shared" si="2"/>
        <v>21</v>
      </c>
    </row>
    <row r="21" spans="1:32">
      <c r="A21" s="341" t="s">
        <v>475</v>
      </c>
      <c r="B21" s="607"/>
      <c r="C21" s="608"/>
      <c r="D21" s="644"/>
      <c r="E21" s="645"/>
      <c r="F21" s="646"/>
      <c r="G21" s="602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357"/>
      <c r="AB21" s="357"/>
      <c r="AC21" s="358">
        <f t="shared" si="0"/>
        <v>0</v>
      </c>
      <c r="AD21" s="358" t="b">
        <f t="shared" si="1"/>
        <v>0</v>
      </c>
      <c r="AE21" s="342">
        <f t="shared" si="2"/>
        <v>0</v>
      </c>
    </row>
    <row r="22" spans="1:32">
      <c r="A22" s="341" t="s">
        <v>476</v>
      </c>
      <c r="B22" s="361" t="s">
        <v>477</v>
      </c>
      <c r="C22" s="362" t="s">
        <v>467</v>
      </c>
      <c r="D22" s="376">
        <v>0.66666666666666696</v>
      </c>
      <c r="E22" s="376"/>
      <c r="F22" s="377"/>
      <c r="G22" s="359">
        <v>2.0833333333333301E-2</v>
      </c>
      <c r="H22" s="357" t="s">
        <v>18</v>
      </c>
      <c r="I22" s="357" t="s">
        <v>22</v>
      </c>
      <c r="J22" s="357" t="s">
        <v>22</v>
      </c>
      <c r="K22" s="357" t="s">
        <v>22</v>
      </c>
      <c r="L22" s="357" t="s">
        <v>22</v>
      </c>
      <c r="M22" s="357" t="s">
        <v>22</v>
      </c>
      <c r="N22" s="357" t="s">
        <v>22</v>
      </c>
      <c r="O22" s="357" t="s">
        <v>22</v>
      </c>
      <c r="P22" s="357" t="s">
        <v>22</v>
      </c>
      <c r="Q22" s="357" t="s">
        <v>22</v>
      </c>
      <c r="R22" s="357" t="s">
        <v>22</v>
      </c>
      <c r="S22" s="357" t="s">
        <v>22</v>
      </c>
      <c r="T22" s="357" t="s">
        <v>22</v>
      </c>
      <c r="U22" s="357" t="s">
        <v>22</v>
      </c>
      <c r="V22" s="357" t="s">
        <v>22</v>
      </c>
      <c r="W22" s="357" t="s">
        <v>22</v>
      </c>
      <c r="X22" s="357" t="s">
        <v>22</v>
      </c>
      <c r="Y22" s="357" t="s">
        <v>22</v>
      </c>
      <c r="Z22" s="357" t="s">
        <v>22</v>
      </c>
      <c r="AA22" s="357" t="s">
        <v>22</v>
      </c>
      <c r="AB22" s="357" t="s">
        <v>22</v>
      </c>
      <c r="AC22" s="358">
        <f t="shared" si="0"/>
        <v>0.66666666666666696</v>
      </c>
      <c r="AD22" s="358">
        <f t="shared" si="1"/>
        <v>2.0833333333333301E-2</v>
      </c>
      <c r="AE22" s="342">
        <f t="shared" si="2"/>
        <v>20</v>
      </c>
    </row>
    <row r="23" spans="1:32">
      <c r="A23" s="341" t="s">
        <v>478</v>
      </c>
      <c r="B23" s="361" t="s">
        <v>479</v>
      </c>
      <c r="C23" s="362" t="s">
        <v>467</v>
      </c>
      <c r="D23" s="376"/>
      <c r="E23" s="376"/>
      <c r="F23" s="377"/>
      <c r="G23" s="359">
        <v>2.0833333333333301E-2</v>
      </c>
      <c r="H23" s="357" t="s">
        <v>18</v>
      </c>
      <c r="I23" s="357" t="s">
        <v>22</v>
      </c>
      <c r="J23" s="357" t="s">
        <v>22</v>
      </c>
      <c r="K23" s="357" t="s">
        <v>22</v>
      </c>
      <c r="L23" s="357" t="s">
        <v>22</v>
      </c>
      <c r="M23" s="357" t="s">
        <v>22</v>
      </c>
      <c r="N23" s="357" t="s">
        <v>22</v>
      </c>
      <c r="O23" s="357" t="s">
        <v>22</v>
      </c>
      <c r="P23" s="357" t="s">
        <v>22</v>
      </c>
      <c r="Q23" s="357" t="s">
        <v>22</v>
      </c>
      <c r="R23" s="357" t="s">
        <v>22</v>
      </c>
      <c r="S23" s="357" t="s">
        <v>22</v>
      </c>
      <c r="T23" s="357" t="s">
        <v>22</v>
      </c>
      <c r="U23" s="357" t="s">
        <v>22</v>
      </c>
      <c r="V23" s="357" t="s">
        <v>22</v>
      </c>
      <c r="W23" s="357" t="s">
        <v>22</v>
      </c>
      <c r="X23" s="357" t="s">
        <v>22</v>
      </c>
      <c r="Y23" s="357" t="s">
        <v>22</v>
      </c>
      <c r="Z23" s="357" t="s">
        <v>22</v>
      </c>
      <c r="AA23" s="357" t="s">
        <v>22</v>
      </c>
      <c r="AB23" s="357" t="s">
        <v>22</v>
      </c>
      <c r="AC23" s="358">
        <f t="shared" si="0"/>
        <v>0</v>
      </c>
      <c r="AD23" s="358">
        <f t="shared" si="1"/>
        <v>2.0833333333333301E-2</v>
      </c>
      <c r="AE23" s="342">
        <f t="shared" si="2"/>
        <v>20</v>
      </c>
    </row>
    <row r="24" spans="1:32">
      <c r="A24" s="341" t="s">
        <v>480</v>
      </c>
      <c r="B24" s="363" t="s">
        <v>481</v>
      </c>
      <c r="C24" s="362" t="s">
        <v>467</v>
      </c>
      <c r="D24" s="376">
        <v>0.29166666666666702</v>
      </c>
      <c r="E24" s="376"/>
      <c r="F24" s="377"/>
      <c r="G24" s="359">
        <v>8.3333333333333301E-2</v>
      </c>
      <c r="H24" s="357" t="s">
        <v>18</v>
      </c>
      <c r="I24" s="357" t="s">
        <v>22</v>
      </c>
      <c r="J24" s="357" t="s">
        <v>18</v>
      </c>
      <c r="K24" s="357" t="s">
        <v>18</v>
      </c>
      <c r="L24" s="357" t="s">
        <v>18</v>
      </c>
      <c r="M24" s="357" t="s">
        <v>22</v>
      </c>
      <c r="N24" s="357" t="s">
        <v>18</v>
      </c>
      <c r="O24" s="357" t="s">
        <v>22</v>
      </c>
      <c r="P24" s="357" t="s">
        <v>22</v>
      </c>
      <c r="Q24" s="357" t="s">
        <v>22</v>
      </c>
      <c r="R24" s="357" t="s">
        <v>22</v>
      </c>
      <c r="S24" s="357" t="s">
        <v>18</v>
      </c>
      <c r="T24" s="357" t="s">
        <v>18</v>
      </c>
      <c r="U24" s="357" t="s">
        <v>22</v>
      </c>
      <c r="V24" s="357" t="s">
        <v>18</v>
      </c>
      <c r="W24" s="357" t="s">
        <v>18</v>
      </c>
      <c r="X24" s="357" t="s">
        <v>22</v>
      </c>
      <c r="Y24" s="357" t="s">
        <v>18</v>
      </c>
      <c r="Z24" s="357" t="s">
        <v>18</v>
      </c>
      <c r="AA24" s="357" t="s">
        <v>18</v>
      </c>
      <c r="AB24" s="357" t="s">
        <v>18</v>
      </c>
      <c r="AC24" s="358">
        <f t="shared" si="0"/>
        <v>0</v>
      </c>
      <c r="AD24" s="358" t="b">
        <f t="shared" si="1"/>
        <v>0</v>
      </c>
      <c r="AE24" s="342">
        <f t="shared" si="2"/>
        <v>8</v>
      </c>
    </row>
    <row r="25" spans="1:32" ht="15" customHeight="1">
      <c r="A25" s="341" t="s">
        <v>482</v>
      </c>
      <c r="B25" s="604" t="s">
        <v>483</v>
      </c>
      <c r="C25" s="605" t="s">
        <v>467</v>
      </c>
      <c r="D25" s="642">
        <v>2.0833333333333301E-2</v>
      </c>
      <c r="E25" s="641"/>
      <c r="F25" s="639">
        <v>1.0416666666666701E-2</v>
      </c>
      <c r="G25" s="602">
        <v>0.16666666666666699</v>
      </c>
      <c r="H25" s="357" t="s">
        <v>18</v>
      </c>
      <c r="I25" s="357" t="s">
        <v>18</v>
      </c>
      <c r="J25" s="357" t="s">
        <v>18</v>
      </c>
      <c r="K25" s="357" t="s">
        <v>18</v>
      </c>
      <c r="L25" s="357" t="s">
        <v>18</v>
      </c>
      <c r="M25" s="357" t="s">
        <v>22</v>
      </c>
      <c r="N25" s="357" t="s">
        <v>22</v>
      </c>
      <c r="O25" s="357" t="s">
        <v>22</v>
      </c>
      <c r="P25" s="357" t="s">
        <v>18</v>
      </c>
      <c r="Q25" s="357" t="s">
        <v>22</v>
      </c>
      <c r="R25" s="357" t="s">
        <v>18</v>
      </c>
      <c r="S25" s="357" t="s">
        <v>18</v>
      </c>
      <c r="T25" s="357" t="s">
        <v>18</v>
      </c>
      <c r="U25" s="357" t="s">
        <v>18</v>
      </c>
      <c r="V25" s="357" t="s">
        <v>18</v>
      </c>
      <c r="W25" s="357" t="s">
        <v>18</v>
      </c>
      <c r="X25" s="357" t="s">
        <v>18</v>
      </c>
      <c r="Y25" s="357" t="s">
        <v>18</v>
      </c>
      <c r="Z25" s="357" t="s">
        <v>18</v>
      </c>
      <c r="AA25" s="357" t="s">
        <v>18</v>
      </c>
      <c r="AB25" s="357" t="s">
        <v>18</v>
      </c>
      <c r="AC25" s="358">
        <f t="shared" si="0"/>
        <v>0</v>
      </c>
      <c r="AD25" s="358" t="b">
        <f t="shared" si="1"/>
        <v>0</v>
      </c>
      <c r="AE25" s="342">
        <f t="shared" si="2"/>
        <v>4</v>
      </c>
      <c r="AF25" s="364"/>
    </row>
    <row r="26" spans="1:32">
      <c r="A26" s="341" t="s">
        <v>484</v>
      </c>
      <c r="B26" s="604"/>
      <c r="C26" s="605"/>
      <c r="D26" s="642"/>
      <c r="E26" s="641"/>
      <c r="F26" s="639"/>
      <c r="G26" s="602"/>
      <c r="H26" s="357"/>
      <c r="I26" s="357"/>
      <c r="J26" s="357"/>
      <c r="K26" s="357"/>
      <c r="L26" s="357"/>
      <c r="M26" s="357"/>
      <c r="N26" s="357"/>
      <c r="O26" s="357"/>
      <c r="P26" s="357"/>
      <c r="Q26" s="357"/>
      <c r="R26" s="357"/>
      <c r="S26" s="357"/>
      <c r="T26" s="357"/>
      <c r="U26" s="357"/>
      <c r="V26" s="357"/>
      <c r="W26" s="357"/>
      <c r="X26" s="357"/>
      <c r="Y26" s="357"/>
      <c r="Z26" s="357"/>
      <c r="AA26" s="357"/>
      <c r="AB26" s="357"/>
      <c r="AC26" s="358">
        <f t="shared" si="0"/>
        <v>0</v>
      </c>
      <c r="AD26" s="358" t="b">
        <f t="shared" si="1"/>
        <v>0</v>
      </c>
      <c r="AE26" s="342">
        <f t="shared" si="2"/>
        <v>0</v>
      </c>
    </row>
    <row r="27" spans="1:32">
      <c r="A27" s="341" t="s">
        <v>485</v>
      </c>
      <c r="B27" s="365" t="s">
        <v>486</v>
      </c>
      <c r="C27" s="365" t="s">
        <v>487</v>
      </c>
      <c r="D27" s="378"/>
      <c r="E27" s="379"/>
      <c r="F27" s="377"/>
      <c r="G27" s="359">
        <v>6.9444444444444397E-3</v>
      </c>
      <c r="H27" s="357" t="s">
        <v>22</v>
      </c>
      <c r="I27" s="357" t="s">
        <v>22</v>
      </c>
      <c r="J27" s="357" t="s">
        <v>18</v>
      </c>
      <c r="K27" s="357" t="s">
        <v>18</v>
      </c>
      <c r="L27" s="357" t="s">
        <v>22</v>
      </c>
      <c r="M27" s="357" t="s">
        <v>18</v>
      </c>
      <c r="N27" s="357" t="s">
        <v>18</v>
      </c>
      <c r="O27" s="357" t="s">
        <v>18</v>
      </c>
      <c r="P27" s="357" t="s">
        <v>18</v>
      </c>
      <c r="Q27" s="357" t="s">
        <v>18</v>
      </c>
      <c r="R27" s="357" t="s">
        <v>18</v>
      </c>
      <c r="S27" s="357" t="s">
        <v>18</v>
      </c>
      <c r="T27" s="357" t="s">
        <v>18</v>
      </c>
      <c r="U27" s="357" t="s">
        <v>18</v>
      </c>
      <c r="V27" s="357" t="s">
        <v>22</v>
      </c>
      <c r="W27" s="357" t="s">
        <v>18</v>
      </c>
      <c r="X27" s="357" t="s">
        <v>18</v>
      </c>
      <c r="Y27" s="357" t="s">
        <v>18</v>
      </c>
      <c r="Z27" s="357" t="s">
        <v>18</v>
      </c>
      <c r="AA27" s="357" t="s">
        <v>18</v>
      </c>
      <c r="AB27" s="357" t="s">
        <v>18</v>
      </c>
      <c r="AC27" s="358">
        <f t="shared" si="0"/>
        <v>0</v>
      </c>
      <c r="AD27" s="358">
        <f t="shared" si="1"/>
        <v>6.9444444444444397E-3</v>
      </c>
      <c r="AE27" s="342">
        <f t="shared" si="2"/>
        <v>4</v>
      </c>
    </row>
    <row r="28" spans="1:32">
      <c r="A28" s="603" t="s">
        <v>488</v>
      </c>
      <c r="B28" s="365" t="s">
        <v>489</v>
      </c>
      <c r="C28" s="365" t="s">
        <v>487</v>
      </c>
      <c r="D28" s="640"/>
      <c r="E28" s="641"/>
      <c r="F28" s="639"/>
      <c r="G28" s="602">
        <v>2.0833333333333301E-2</v>
      </c>
      <c r="H28" s="357" t="s">
        <v>22</v>
      </c>
      <c r="I28" s="357" t="str">
        <f>$H$27</f>
        <v>SIM</v>
      </c>
      <c r="J28" s="357" t="s">
        <v>18</v>
      </c>
      <c r="K28" s="357" t="s">
        <v>18</v>
      </c>
      <c r="L28" s="357" t="s">
        <v>22</v>
      </c>
      <c r="M28" s="357" t="s">
        <v>18</v>
      </c>
      <c r="N28" s="357" t="s">
        <v>18</v>
      </c>
      <c r="O28" s="357" t="s">
        <v>18</v>
      </c>
      <c r="P28" s="357" t="s">
        <v>18</v>
      </c>
      <c r="Q28" s="357" t="s">
        <v>18</v>
      </c>
      <c r="R28" s="357" t="s">
        <v>18</v>
      </c>
      <c r="S28" s="357" t="s">
        <v>18</v>
      </c>
      <c r="T28" s="357" t="s">
        <v>18</v>
      </c>
      <c r="U28" s="357" t="s">
        <v>18</v>
      </c>
      <c r="V28" s="357" t="s">
        <v>22</v>
      </c>
      <c r="W28" s="357" t="s">
        <v>18</v>
      </c>
      <c r="X28" s="357" t="s">
        <v>18</v>
      </c>
      <c r="Y28" s="357" t="s">
        <v>18</v>
      </c>
      <c r="Z28" s="357" t="s">
        <v>18</v>
      </c>
      <c r="AA28" s="357" t="s">
        <v>18</v>
      </c>
      <c r="AB28" s="357" t="s">
        <v>18</v>
      </c>
      <c r="AC28" s="358">
        <f t="shared" si="0"/>
        <v>0</v>
      </c>
      <c r="AD28" s="358">
        <f t="shared" si="1"/>
        <v>2.0833333333333301E-2</v>
      </c>
      <c r="AE28" s="342">
        <f t="shared" si="2"/>
        <v>4</v>
      </c>
    </row>
    <row r="29" spans="1:32">
      <c r="A29" s="603"/>
      <c r="B29" s="366" t="s">
        <v>490</v>
      </c>
      <c r="C29" s="365" t="s">
        <v>487</v>
      </c>
      <c r="D29" s="640"/>
      <c r="E29" s="641"/>
      <c r="F29" s="641"/>
      <c r="G29" s="602"/>
      <c r="H29" s="357" t="s">
        <v>22</v>
      </c>
      <c r="I29" s="357" t="str">
        <f>$H$27</f>
        <v>SIM</v>
      </c>
      <c r="J29" s="357" t="s">
        <v>18</v>
      </c>
      <c r="K29" s="357" t="s">
        <v>18</v>
      </c>
      <c r="L29" s="357" t="s">
        <v>22</v>
      </c>
      <c r="M29" s="357" t="s">
        <v>18</v>
      </c>
      <c r="N29" s="357" t="s">
        <v>18</v>
      </c>
      <c r="O29" s="357" t="s">
        <v>18</v>
      </c>
      <c r="P29" s="357" t="s">
        <v>18</v>
      </c>
      <c r="Q29" s="357" t="s">
        <v>18</v>
      </c>
      <c r="R29" s="357" t="s">
        <v>18</v>
      </c>
      <c r="S29" s="357" t="s">
        <v>18</v>
      </c>
      <c r="T29" s="357" t="s">
        <v>18</v>
      </c>
      <c r="U29" s="357" t="s">
        <v>18</v>
      </c>
      <c r="V29" s="357" t="s">
        <v>22</v>
      </c>
      <c r="W29" s="357" t="s">
        <v>18</v>
      </c>
      <c r="X29" s="357" t="s">
        <v>18</v>
      </c>
      <c r="Y29" s="357" t="s">
        <v>18</v>
      </c>
      <c r="Z29" s="357" t="s">
        <v>18</v>
      </c>
      <c r="AA29" s="357" t="s">
        <v>18</v>
      </c>
      <c r="AB29" s="357" t="s">
        <v>18</v>
      </c>
      <c r="AC29" s="358">
        <f t="shared" si="0"/>
        <v>0</v>
      </c>
      <c r="AD29" s="358">
        <f t="shared" si="1"/>
        <v>0</v>
      </c>
      <c r="AE29" s="342">
        <f t="shared" si="2"/>
        <v>4</v>
      </c>
    </row>
    <row r="30" spans="1:32">
      <c r="A30" s="603"/>
      <c r="B30" s="366" t="s">
        <v>491</v>
      </c>
      <c r="C30" s="365" t="s">
        <v>487</v>
      </c>
      <c r="D30" s="640"/>
      <c r="E30" s="641"/>
      <c r="F30" s="639"/>
      <c r="G30" s="602"/>
      <c r="H30" s="357" t="s">
        <v>22</v>
      </c>
      <c r="I30" s="357" t="str">
        <f>$H$27</f>
        <v>SIM</v>
      </c>
      <c r="J30" s="357" t="s">
        <v>18</v>
      </c>
      <c r="K30" s="357" t="s">
        <v>18</v>
      </c>
      <c r="L30" s="357" t="s">
        <v>22</v>
      </c>
      <c r="M30" s="357" t="s">
        <v>18</v>
      </c>
      <c r="N30" s="357" t="s">
        <v>18</v>
      </c>
      <c r="O30" s="357" t="s">
        <v>18</v>
      </c>
      <c r="P30" s="357" t="s">
        <v>18</v>
      </c>
      <c r="Q30" s="357" t="s">
        <v>18</v>
      </c>
      <c r="R30" s="357" t="s">
        <v>18</v>
      </c>
      <c r="S30" s="357" t="s">
        <v>18</v>
      </c>
      <c r="T30" s="357" t="s">
        <v>18</v>
      </c>
      <c r="U30" s="357" t="s">
        <v>18</v>
      </c>
      <c r="V30" s="357" t="s">
        <v>22</v>
      </c>
      <c r="W30" s="357" t="s">
        <v>18</v>
      </c>
      <c r="X30" s="357" t="s">
        <v>18</v>
      </c>
      <c r="Y30" s="357" t="s">
        <v>18</v>
      </c>
      <c r="Z30" s="357" t="s">
        <v>18</v>
      </c>
      <c r="AA30" s="357" t="s">
        <v>18</v>
      </c>
      <c r="AB30" s="357" t="s">
        <v>18</v>
      </c>
      <c r="AC30" s="358">
        <f t="shared" si="0"/>
        <v>0</v>
      </c>
      <c r="AD30" s="358">
        <f t="shared" si="1"/>
        <v>0</v>
      </c>
      <c r="AE30" s="342">
        <f t="shared" si="2"/>
        <v>4</v>
      </c>
    </row>
    <row r="31" spans="1:32">
      <c r="B31" s="367" t="s">
        <v>492</v>
      </c>
      <c r="C31" s="365" t="s">
        <v>487</v>
      </c>
      <c r="D31" s="378">
        <v>6.9444444444444397E-3</v>
      </c>
      <c r="E31" s="380"/>
      <c r="F31" s="380" t="s">
        <v>607</v>
      </c>
      <c r="G31" s="359"/>
      <c r="H31" s="357" t="s">
        <v>18</v>
      </c>
      <c r="I31" s="357" t="s">
        <v>18</v>
      </c>
      <c r="J31" s="357" t="s">
        <v>18</v>
      </c>
      <c r="K31" s="357" t="s">
        <v>18</v>
      </c>
      <c r="L31" s="357" t="s">
        <v>18</v>
      </c>
      <c r="M31" s="357" t="s">
        <v>18</v>
      </c>
      <c r="N31" s="357" t="s">
        <v>18</v>
      </c>
      <c r="O31" s="357" t="s">
        <v>18</v>
      </c>
      <c r="P31" s="357" t="s">
        <v>18</v>
      </c>
      <c r="Q31" s="357" t="s">
        <v>18</v>
      </c>
      <c r="R31" s="357" t="s">
        <v>18</v>
      </c>
      <c r="S31" s="357" t="s">
        <v>18</v>
      </c>
      <c r="T31" s="357" t="s">
        <v>18</v>
      </c>
      <c r="U31" s="357" t="s">
        <v>18</v>
      </c>
      <c r="V31" s="357" t="s">
        <v>18</v>
      </c>
      <c r="W31" s="357" t="s">
        <v>18</v>
      </c>
      <c r="X31" s="357" t="s">
        <v>18</v>
      </c>
      <c r="Y31" s="357" t="s">
        <v>18</v>
      </c>
      <c r="Z31" s="357" t="s">
        <v>18</v>
      </c>
      <c r="AA31" s="357" t="s">
        <v>18</v>
      </c>
      <c r="AB31" s="357" t="s">
        <v>18</v>
      </c>
      <c r="AC31" s="358">
        <f t="shared" si="0"/>
        <v>0</v>
      </c>
      <c r="AD31" s="358" t="b">
        <f t="shared" si="1"/>
        <v>0</v>
      </c>
      <c r="AE31" s="342">
        <f t="shared" si="2"/>
        <v>0</v>
      </c>
    </row>
    <row r="32" spans="1:32">
      <c r="A32" s="341" t="s">
        <v>493</v>
      </c>
      <c r="B32" s="365" t="s">
        <v>494</v>
      </c>
      <c r="C32" s="365" t="s">
        <v>487</v>
      </c>
      <c r="D32" s="378"/>
      <c r="E32" s="379"/>
      <c r="F32" s="377"/>
      <c r="G32" s="359">
        <v>6.9444444444444397E-3</v>
      </c>
      <c r="H32" s="357" t="s">
        <v>22</v>
      </c>
      <c r="I32" s="357" t="s">
        <v>22</v>
      </c>
      <c r="J32" s="357" t="s">
        <v>22</v>
      </c>
      <c r="K32" s="357" t="s">
        <v>22</v>
      </c>
      <c r="L32" s="357" t="s">
        <v>22</v>
      </c>
      <c r="M32" s="357" t="s">
        <v>22</v>
      </c>
      <c r="N32" s="357" t="s">
        <v>18</v>
      </c>
      <c r="O32" s="357" t="s">
        <v>18</v>
      </c>
      <c r="P32" s="357" t="s">
        <v>18</v>
      </c>
      <c r="Q32" s="357" t="s">
        <v>18</v>
      </c>
      <c r="R32" s="357" t="s">
        <v>18</v>
      </c>
      <c r="S32" s="357" t="s">
        <v>18</v>
      </c>
      <c r="T32" s="357" t="s">
        <v>18</v>
      </c>
      <c r="U32" s="357" t="s">
        <v>18</v>
      </c>
      <c r="V32" s="357" t="s">
        <v>22</v>
      </c>
      <c r="W32" s="357" t="s">
        <v>18</v>
      </c>
      <c r="X32" s="357" t="s">
        <v>18</v>
      </c>
      <c r="Y32" s="357" t="s">
        <v>18</v>
      </c>
      <c r="Z32" s="357" t="s">
        <v>18</v>
      </c>
      <c r="AA32" s="357" t="s">
        <v>18</v>
      </c>
      <c r="AB32" s="357" t="s">
        <v>18</v>
      </c>
      <c r="AC32" s="358">
        <f t="shared" si="0"/>
        <v>0</v>
      </c>
      <c r="AD32" s="358">
        <f t="shared" si="1"/>
        <v>6.9444444444444397E-3</v>
      </c>
      <c r="AE32" s="342">
        <f t="shared" si="2"/>
        <v>7</v>
      </c>
    </row>
    <row r="33" spans="1:31">
      <c r="A33" s="341" t="s">
        <v>495</v>
      </c>
      <c r="B33" s="365" t="s">
        <v>496</v>
      </c>
      <c r="C33" s="365" t="s">
        <v>487</v>
      </c>
      <c r="D33" s="378"/>
      <c r="E33" s="379"/>
      <c r="F33" s="377"/>
      <c r="G33" s="359">
        <v>2.0833333333333301E-2</v>
      </c>
      <c r="H33" s="357" t="s">
        <v>18</v>
      </c>
      <c r="I33" s="357" t="s">
        <v>22</v>
      </c>
      <c r="J33" s="357" t="s">
        <v>22</v>
      </c>
      <c r="K33" s="357" t="s">
        <v>22</v>
      </c>
      <c r="L33" s="357" t="s">
        <v>22</v>
      </c>
      <c r="M33" s="357" t="s">
        <v>22</v>
      </c>
      <c r="N33" s="357" t="s">
        <v>18</v>
      </c>
      <c r="O33" s="357" t="s">
        <v>18</v>
      </c>
      <c r="P33" s="357" t="s">
        <v>18</v>
      </c>
      <c r="Q33" s="357" t="s">
        <v>22</v>
      </c>
      <c r="R33" s="357" t="s">
        <v>18</v>
      </c>
      <c r="S33" s="357" t="s">
        <v>18</v>
      </c>
      <c r="T33" s="357" t="s">
        <v>18</v>
      </c>
      <c r="U33" s="357" t="s">
        <v>18</v>
      </c>
      <c r="V33" s="357" t="s">
        <v>22</v>
      </c>
      <c r="W33" s="357" t="s">
        <v>18</v>
      </c>
      <c r="X33" s="357" t="s">
        <v>18</v>
      </c>
      <c r="Y33" s="357" t="s">
        <v>18</v>
      </c>
      <c r="Z33" s="357" t="s">
        <v>18</v>
      </c>
      <c r="AA33" s="357" t="s">
        <v>18</v>
      </c>
      <c r="AB33" s="357" t="s">
        <v>18</v>
      </c>
      <c r="AC33" s="358">
        <f t="shared" si="0"/>
        <v>0</v>
      </c>
      <c r="AD33" s="358">
        <f t="shared" si="1"/>
        <v>2.0833333333333301E-2</v>
      </c>
      <c r="AE33" s="342">
        <f t="shared" si="2"/>
        <v>7</v>
      </c>
    </row>
    <row r="34" spans="1:31">
      <c r="A34" s="341" t="s">
        <v>497</v>
      </c>
      <c r="B34" s="365" t="s">
        <v>498</v>
      </c>
      <c r="C34" s="365" t="s">
        <v>487</v>
      </c>
      <c r="D34" s="378"/>
      <c r="E34" s="379"/>
      <c r="F34" s="377"/>
      <c r="G34" s="359">
        <v>1.0416666666666701E-2</v>
      </c>
      <c r="H34" s="357" t="s">
        <v>22</v>
      </c>
      <c r="I34" s="357" t="s">
        <v>22</v>
      </c>
      <c r="J34" s="357" t="s">
        <v>22</v>
      </c>
      <c r="K34" s="357" t="s">
        <v>22</v>
      </c>
      <c r="L34" s="357" t="s">
        <v>22</v>
      </c>
      <c r="M34" s="357" t="s">
        <v>22</v>
      </c>
      <c r="N34" s="357" t="s">
        <v>18</v>
      </c>
      <c r="O34" s="357" t="s">
        <v>18</v>
      </c>
      <c r="P34" s="357" t="s">
        <v>18</v>
      </c>
      <c r="Q34" s="357" t="s">
        <v>18</v>
      </c>
      <c r="R34" s="357" t="s">
        <v>18</v>
      </c>
      <c r="S34" s="357" t="s">
        <v>18</v>
      </c>
      <c r="T34" s="357" t="s">
        <v>18</v>
      </c>
      <c r="U34" s="357" t="s">
        <v>18</v>
      </c>
      <c r="V34" s="357" t="s">
        <v>22</v>
      </c>
      <c r="W34" s="357" t="s">
        <v>18</v>
      </c>
      <c r="X34" s="357" t="s">
        <v>18</v>
      </c>
      <c r="Y34" s="357" t="s">
        <v>18</v>
      </c>
      <c r="Z34" s="357" t="s">
        <v>18</v>
      </c>
      <c r="AA34" s="357" t="s">
        <v>18</v>
      </c>
      <c r="AB34" s="357" t="s">
        <v>18</v>
      </c>
      <c r="AC34" s="358">
        <f t="shared" si="0"/>
        <v>0</v>
      </c>
      <c r="AD34" s="358">
        <f t="shared" si="1"/>
        <v>1.0416666666666701E-2</v>
      </c>
      <c r="AE34" s="342">
        <f t="shared" si="2"/>
        <v>7</v>
      </c>
    </row>
    <row r="35" spans="1:31">
      <c r="A35" s="341" t="s">
        <v>499</v>
      </c>
      <c r="B35" s="365" t="s">
        <v>500</v>
      </c>
      <c r="C35" s="365" t="s">
        <v>487</v>
      </c>
      <c r="D35" s="378"/>
      <c r="E35" s="379"/>
      <c r="F35" s="377"/>
      <c r="G35" s="359">
        <v>1.7361111111111101E-2</v>
      </c>
      <c r="H35" s="357" t="s">
        <v>22</v>
      </c>
      <c r="I35" s="357" t="s">
        <v>22</v>
      </c>
      <c r="J35" s="357" t="s">
        <v>22</v>
      </c>
      <c r="K35" s="357" t="s">
        <v>22</v>
      </c>
      <c r="L35" s="357" t="s">
        <v>22</v>
      </c>
      <c r="M35" s="357" t="s">
        <v>22</v>
      </c>
      <c r="N35" s="357" t="s">
        <v>18</v>
      </c>
      <c r="O35" s="357" t="s">
        <v>18</v>
      </c>
      <c r="P35" s="357" t="s">
        <v>18</v>
      </c>
      <c r="Q35" s="357" t="s">
        <v>18</v>
      </c>
      <c r="R35" s="357" t="s">
        <v>18</v>
      </c>
      <c r="S35" s="357" t="s">
        <v>18</v>
      </c>
      <c r="T35" s="357" t="s">
        <v>18</v>
      </c>
      <c r="U35" s="357" t="s">
        <v>18</v>
      </c>
      <c r="V35" s="357" t="s">
        <v>22</v>
      </c>
      <c r="W35" s="357" t="s">
        <v>18</v>
      </c>
      <c r="X35" s="357" t="s">
        <v>18</v>
      </c>
      <c r="Y35" s="357" t="s">
        <v>18</v>
      </c>
      <c r="Z35" s="357" t="s">
        <v>18</v>
      </c>
      <c r="AA35" s="357" t="s">
        <v>18</v>
      </c>
      <c r="AB35" s="357" t="s">
        <v>18</v>
      </c>
      <c r="AC35" s="358">
        <f t="shared" ref="AC35:AC66" si="3">IF(COUNTIFS($H$1:$AB$1,"x",H35:AB35,"SIM")&gt;0,(D35+E35+F35),0)</f>
        <v>0</v>
      </c>
      <c r="AD35" s="358">
        <f t="shared" ref="AD35:AD66" si="4">IF(COUNTIFS($H$1:$AB$1,"x",H35:AB35,"SIM")&gt;0,G35)</f>
        <v>1.7361111111111101E-2</v>
      </c>
      <c r="AE35" s="342">
        <f t="shared" ref="AE35:AE66" si="5">COUNTIFS(H35:AB35,"SIM")</f>
        <v>7</v>
      </c>
    </row>
    <row r="36" spans="1:31">
      <c r="A36" s="341" t="s">
        <v>501</v>
      </c>
      <c r="B36" s="365" t="s">
        <v>502</v>
      </c>
      <c r="C36" s="365" t="s">
        <v>487</v>
      </c>
      <c r="D36" s="378"/>
      <c r="E36" s="379"/>
      <c r="F36" s="377"/>
      <c r="G36" s="359">
        <v>1.0416666666666701E-2</v>
      </c>
      <c r="H36" s="357" t="s">
        <v>22</v>
      </c>
      <c r="I36" s="357" t="s">
        <v>22</v>
      </c>
      <c r="J36" s="357" t="s">
        <v>22</v>
      </c>
      <c r="K36" s="357" t="s">
        <v>22</v>
      </c>
      <c r="L36" s="357" t="s">
        <v>22</v>
      </c>
      <c r="M36" s="357" t="s">
        <v>22</v>
      </c>
      <c r="N36" s="357" t="s">
        <v>18</v>
      </c>
      <c r="O36" s="357" t="s">
        <v>18</v>
      </c>
      <c r="P36" s="357" t="s">
        <v>18</v>
      </c>
      <c r="Q36" s="357" t="s">
        <v>18</v>
      </c>
      <c r="R36" s="357" t="s">
        <v>18</v>
      </c>
      <c r="S36" s="357" t="s">
        <v>18</v>
      </c>
      <c r="T36" s="357" t="s">
        <v>18</v>
      </c>
      <c r="U36" s="357" t="s">
        <v>18</v>
      </c>
      <c r="V36" s="357" t="s">
        <v>22</v>
      </c>
      <c r="W36" s="357" t="s">
        <v>18</v>
      </c>
      <c r="X36" s="357" t="s">
        <v>18</v>
      </c>
      <c r="Y36" s="357" t="s">
        <v>18</v>
      </c>
      <c r="Z36" s="357" t="s">
        <v>18</v>
      </c>
      <c r="AA36" s="357" t="s">
        <v>18</v>
      </c>
      <c r="AB36" s="357" t="s">
        <v>18</v>
      </c>
      <c r="AC36" s="358">
        <f t="shared" si="3"/>
        <v>0</v>
      </c>
      <c r="AD36" s="358">
        <f t="shared" si="4"/>
        <v>1.0416666666666701E-2</v>
      </c>
      <c r="AE36" s="342">
        <f t="shared" si="5"/>
        <v>7</v>
      </c>
    </row>
    <row r="37" spans="1:31">
      <c r="A37" s="341" t="s">
        <v>503</v>
      </c>
      <c r="B37" s="365" t="s">
        <v>504</v>
      </c>
      <c r="C37" s="365" t="s">
        <v>487</v>
      </c>
      <c r="D37" s="642"/>
      <c r="E37" s="642"/>
      <c r="F37" s="643"/>
      <c r="G37" s="598">
        <v>2.0833333333333301E-2</v>
      </c>
      <c r="H37" s="357" t="s">
        <v>22</v>
      </c>
      <c r="I37" s="357" t="s">
        <v>22</v>
      </c>
      <c r="J37" s="357" t="s">
        <v>22</v>
      </c>
      <c r="K37" s="357" t="s">
        <v>22</v>
      </c>
      <c r="L37" s="357" t="s">
        <v>18</v>
      </c>
      <c r="M37" s="357" t="s">
        <v>22</v>
      </c>
      <c r="N37" s="357" t="s">
        <v>18</v>
      </c>
      <c r="O37" s="357" t="s">
        <v>18</v>
      </c>
      <c r="P37" s="357" t="s">
        <v>18</v>
      </c>
      <c r="Q37" s="357" t="s">
        <v>18</v>
      </c>
      <c r="R37" s="357" t="s">
        <v>18</v>
      </c>
      <c r="S37" s="357" t="s">
        <v>18</v>
      </c>
      <c r="T37" s="357" t="s">
        <v>18</v>
      </c>
      <c r="U37" s="357" t="s">
        <v>18</v>
      </c>
      <c r="V37" s="357" t="s">
        <v>18</v>
      </c>
      <c r="W37" s="357" t="s">
        <v>18</v>
      </c>
      <c r="X37" s="357" t="s">
        <v>18</v>
      </c>
      <c r="Y37" s="357" t="s">
        <v>18</v>
      </c>
      <c r="Z37" s="357" t="s">
        <v>18</v>
      </c>
      <c r="AA37" s="357" t="s">
        <v>18</v>
      </c>
      <c r="AB37" s="357" t="s">
        <v>18</v>
      </c>
      <c r="AC37" s="358">
        <f t="shared" si="3"/>
        <v>0</v>
      </c>
      <c r="AD37" s="358">
        <f t="shared" si="4"/>
        <v>2.0833333333333301E-2</v>
      </c>
      <c r="AE37" s="342">
        <f t="shared" si="5"/>
        <v>5</v>
      </c>
    </row>
    <row r="38" spans="1:31">
      <c r="A38" s="341" t="s">
        <v>505</v>
      </c>
      <c r="B38" s="365" t="s">
        <v>506</v>
      </c>
      <c r="C38" s="365" t="s">
        <v>487</v>
      </c>
      <c r="D38" s="642"/>
      <c r="E38" s="642"/>
      <c r="F38" s="642"/>
      <c r="G38" s="598"/>
      <c r="H38" s="357" t="s">
        <v>22</v>
      </c>
      <c r="I38" s="357" t="s">
        <v>22</v>
      </c>
      <c r="J38" s="357" t="s">
        <v>22</v>
      </c>
      <c r="K38" s="357" t="s">
        <v>22</v>
      </c>
      <c r="L38" s="357" t="s">
        <v>18</v>
      </c>
      <c r="M38" s="357" t="s">
        <v>22</v>
      </c>
      <c r="N38" s="357" t="s">
        <v>18</v>
      </c>
      <c r="O38" s="357" t="s">
        <v>18</v>
      </c>
      <c r="P38" s="357" t="s">
        <v>18</v>
      </c>
      <c r="Q38" s="357" t="s">
        <v>18</v>
      </c>
      <c r="R38" s="357" t="s">
        <v>18</v>
      </c>
      <c r="S38" s="357" t="s">
        <v>18</v>
      </c>
      <c r="T38" s="357" t="s">
        <v>18</v>
      </c>
      <c r="U38" s="357" t="s">
        <v>18</v>
      </c>
      <c r="V38" s="357" t="s">
        <v>18</v>
      </c>
      <c r="W38" s="357" t="s">
        <v>18</v>
      </c>
      <c r="X38" s="357" t="s">
        <v>18</v>
      </c>
      <c r="Y38" s="357" t="s">
        <v>18</v>
      </c>
      <c r="Z38" s="357" t="s">
        <v>18</v>
      </c>
      <c r="AA38" s="357" t="s">
        <v>18</v>
      </c>
      <c r="AB38" s="357" t="s">
        <v>18</v>
      </c>
      <c r="AC38" s="358">
        <f t="shared" si="3"/>
        <v>0</v>
      </c>
      <c r="AD38" s="358">
        <f t="shared" si="4"/>
        <v>0</v>
      </c>
      <c r="AE38" s="342">
        <f t="shared" si="5"/>
        <v>5</v>
      </c>
    </row>
    <row r="39" spans="1:31">
      <c r="A39" s="341" t="s">
        <v>507</v>
      </c>
      <c r="B39" s="365" t="s">
        <v>508</v>
      </c>
      <c r="C39" s="365" t="s">
        <v>487</v>
      </c>
      <c r="D39" s="642"/>
      <c r="E39" s="642"/>
      <c r="F39" s="642"/>
      <c r="G39" s="598"/>
      <c r="H39" s="357" t="s">
        <v>22</v>
      </c>
      <c r="I39" s="357" t="s">
        <v>22</v>
      </c>
      <c r="J39" s="357" t="s">
        <v>22</v>
      </c>
      <c r="K39" s="357" t="s">
        <v>22</v>
      </c>
      <c r="L39" s="357" t="s">
        <v>18</v>
      </c>
      <c r="M39" s="357" t="s">
        <v>22</v>
      </c>
      <c r="N39" s="357" t="s">
        <v>18</v>
      </c>
      <c r="O39" s="357" t="s">
        <v>18</v>
      </c>
      <c r="P39" s="357" t="s">
        <v>18</v>
      </c>
      <c r="Q39" s="357" t="s">
        <v>18</v>
      </c>
      <c r="R39" s="357" t="s">
        <v>18</v>
      </c>
      <c r="S39" s="357" t="s">
        <v>18</v>
      </c>
      <c r="T39" s="357" t="s">
        <v>18</v>
      </c>
      <c r="U39" s="357" t="s">
        <v>18</v>
      </c>
      <c r="V39" s="357" t="s">
        <v>18</v>
      </c>
      <c r="W39" s="357" t="s">
        <v>18</v>
      </c>
      <c r="X39" s="357" t="s">
        <v>18</v>
      </c>
      <c r="Y39" s="357" t="s">
        <v>18</v>
      </c>
      <c r="Z39" s="357" t="s">
        <v>18</v>
      </c>
      <c r="AA39" s="357" t="s">
        <v>18</v>
      </c>
      <c r="AB39" s="357" t="s">
        <v>18</v>
      </c>
      <c r="AC39" s="358">
        <f t="shared" si="3"/>
        <v>0</v>
      </c>
      <c r="AD39" s="358">
        <f t="shared" si="4"/>
        <v>0</v>
      </c>
      <c r="AE39" s="342">
        <f t="shared" si="5"/>
        <v>5</v>
      </c>
    </row>
    <row r="40" spans="1:31">
      <c r="A40" s="341" t="s">
        <v>509</v>
      </c>
      <c r="B40" s="365" t="s">
        <v>510</v>
      </c>
      <c r="C40" s="365" t="s">
        <v>487</v>
      </c>
      <c r="D40" s="642"/>
      <c r="E40" s="642"/>
      <c r="F40" s="643"/>
      <c r="G40" s="598"/>
      <c r="H40" s="357" t="s">
        <v>18</v>
      </c>
      <c r="I40" s="357" t="s">
        <v>18</v>
      </c>
      <c r="J40" s="357" t="s">
        <v>18</v>
      </c>
      <c r="K40" s="357" t="s">
        <v>18</v>
      </c>
      <c r="L40" s="357" t="s">
        <v>18</v>
      </c>
      <c r="M40" s="357" t="s">
        <v>18</v>
      </c>
      <c r="N40" s="357" t="s">
        <v>18</v>
      </c>
      <c r="O40" s="357" t="s">
        <v>18</v>
      </c>
      <c r="P40" s="357" t="s">
        <v>18</v>
      </c>
      <c r="Q40" s="357" t="s">
        <v>18</v>
      </c>
      <c r="R40" s="357" t="s">
        <v>18</v>
      </c>
      <c r="S40" s="357" t="s">
        <v>18</v>
      </c>
      <c r="T40" s="357" t="s">
        <v>18</v>
      </c>
      <c r="U40" s="357" t="s">
        <v>18</v>
      </c>
      <c r="V40" s="357" t="s">
        <v>18</v>
      </c>
      <c r="W40" s="357" t="s">
        <v>18</v>
      </c>
      <c r="X40" s="357" t="s">
        <v>18</v>
      </c>
      <c r="Y40" s="357" t="s">
        <v>18</v>
      </c>
      <c r="Z40" s="357" t="s">
        <v>18</v>
      </c>
      <c r="AA40" s="357" t="s">
        <v>18</v>
      </c>
      <c r="AB40" s="357" t="s">
        <v>18</v>
      </c>
      <c r="AC40" s="358">
        <f t="shared" si="3"/>
        <v>0</v>
      </c>
      <c r="AD40" s="358" t="b">
        <f t="shared" si="4"/>
        <v>0</v>
      </c>
      <c r="AE40" s="342">
        <f t="shared" si="5"/>
        <v>0</v>
      </c>
    </row>
    <row r="41" spans="1:31">
      <c r="B41" s="367" t="s">
        <v>511</v>
      </c>
      <c r="C41" s="365" t="s">
        <v>487</v>
      </c>
      <c r="D41" s="381" t="s">
        <v>607</v>
      </c>
      <c r="E41" s="380"/>
      <c r="F41" s="380" t="s">
        <v>607</v>
      </c>
      <c r="G41" s="359"/>
      <c r="H41" s="357" t="s">
        <v>18</v>
      </c>
      <c r="I41" s="357" t="s">
        <v>18</v>
      </c>
      <c r="J41" s="357" t="s">
        <v>18</v>
      </c>
      <c r="K41" s="357" t="s">
        <v>18</v>
      </c>
      <c r="L41" s="357" t="s">
        <v>18</v>
      </c>
      <c r="M41" s="357" t="s">
        <v>18</v>
      </c>
      <c r="N41" s="357" t="s">
        <v>18</v>
      </c>
      <c r="O41" s="357" t="s">
        <v>18</v>
      </c>
      <c r="P41" s="357" t="s">
        <v>18</v>
      </c>
      <c r="Q41" s="357" t="s">
        <v>18</v>
      </c>
      <c r="R41" s="357" t="s">
        <v>18</v>
      </c>
      <c r="S41" s="357" t="s">
        <v>18</v>
      </c>
      <c r="T41" s="357" t="s">
        <v>18</v>
      </c>
      <c r="U41" s="357" t="s">
        <v>18</v>
      </c>
      <c r="V41" s="357" t="s">
        <v>18</v>
      </c>
      <c r="W41" s="357" t="s">
        <v>18</v>
      </c>
      <c r="X41" s="357" t="s">
        <v>18</v>
      </c>
      <c r="Y41" s="357" t="s">
        <v>18</v>
      </c>
      <c r="Z41" s="357" t="s">
        <v>18</v>
      </c>
      <c r="AA41" s="357" t="s">
        <v>18</v>
      </c>
      <c r="AB41" s="357" t="s">
        <v>18</v>
      </c>
      <c r="AC41" s="358">
        <f t="shared" si="3"/>
        <v>0</v>
      </c>
      <c r="AD41" s="358" t="b">
        <f t="shared" si="4"/>
        <v>0</v>
      </c>
      <c r="AE41" s="342">
        <f t="shared" si="5"/>
        <v>0</v>
      </c>
    </row>
    <row r="42" spans="1:31">
      <c r="A42" s="341" t="s">
        <v>512</v>
      </c>
      <c r="B42" s="365" t="s">
        <v>513</v>
      </c>
      <c r="C42" s="365" t="s">
        <v>487</v>
      </c>
      <c r="D42" s="376"/>
      <c r="E42" s="376"/>
      <c r="F42" s="377"/>
      <c r="G42" s="359">
        <v>1.0416666666666701E-2</v>
      </c>
      <c r="H42" s="357" t="s">
        <v>22</v>
      </c>
      <c r="I42" s="357" t="s">
        <v>22</v>
      </c>
      <c r="J42" s="357" t="s">
        <v>18</v>
      </c>
      <c r="K42" s="357" t="s">
        <v>18</v>
      </c>
      <c r="L42" s="357" t="s">
        <v>18</v>
      </c>
      <c r="M42" s="357" t="s">
        <v>18</v>
      </c>
      <c r="N42" s="357" t="s">
        <v>18</v>
      </c>
      <c r="O42" s="357" t="s">
        <v>18</v>
      </c>
      <c r="P42" s="357" t="s">
        <v>18</v>
      </c>
      <c r="Q42" s="357" t="s">
        <v>18</v>
      </c>
      <c r="R42" s="357" t="s">
        <v>18</v>
      </c>
      <c r="S42" s="357" t="s">
        <v>18</v>
      </c>
      <c r="T42" s="357" t="s">
        <v>18</v>
      </c>
      <c r="U42" s="357" t="s">
        <v>18</v>
      </c>
      <c r="V42" s="357" t="s">
        <v>18</v>
      </c>
      <c r="W42" s="357" t="s">
        <v>18</v>
      </c>
      <c r="X42" s="357" t="s">
        <v>18</v>
      </c>
      <c r="Y42" s="357" t="s">
        <v>18</v>
      </c>
      <c r="Z42" s="357" t="s">
        <v>18</v>
      </c>
      <c r="AA42" s="357" t="s">
        <v>18</v>
      </c>
      <c r="AB42" s="357" t="s">
        <v>18</v>
      </c>
      <c r="AC42" s="358">
        <f t="shared" si="3"/>
        <v>0</v>
      </c>
      <c r="AD42" s="358">
        <f t="shared" si="4"/>
        <v>1.0416666666666701E-2</v>
      </c>
      <c r="AE42" s="342">
        <f t="shared" si="5"/>
        <v>2</v>
      </c>
    </row>
    <row r="43" spans="1:31">
      <c r="A43" s="341" t="s">
        <v>514</v>
      </c>
      <c r="B43" s="365" t="s">
        <v>515</v>
      </c>
      <c r="C43" s="365" t="s">
        <v>487</v>
      </c>
      <c r="D43" s="376"/>
      <c r="E43" s="376"/>
      <c r="F43" s="377"/>
      <c r="G43" s="359">
        <v>1.0416666666666701E-2</v>
      </c>
      <c r="H43" s="357" t="s">
        <v>22</v>
      </c>
      <c r="I43" s="357" t="str">
        <f>$J$58</f>
        <v>NÃO</v>
      </c>
      <c r="J43" s="357" t="s">
        <v>18</v>
      </c>
      <c r="K43" s="357" t="s">
        <v>18</v>
      </c>
      <c r="L43" s="357" t="s">
        <v>18</v>
      </c>
      <c r="M43" s="357" t="s">
        <v>18</v>
      </c>
      <c r="N43" s="357" t="s">
        <v>18</v>
      </c>
      <c r="O43" s="357" t="s">
        <v>18</v>
      </c>
      <c r="P43" s="357" t="s">
        <v>18</v>
      </c>
      <c r="Q43" s="357" t="s">
        <v>18</v>
      </c>
      <c r="R43" s="357" t="s">
        <v>18</v>
      </c>
      <c r="S43" s="357" t="s">
        <v>18</v>
      </c>
      <c r="T43" s="357" t="s">
        <v>18</v>
      </c>
      <c r="U43" s="357" t="s">
        <v>18</v>
      </c>
      <c r="V43" s="357" t="s">
        <v>18</v>
      </c>
      <c r="W43" s="357" t="s">
        <v>18</v>
      </c>
      <c r="X43" s="357" t="s">
        <v>18</v>
      </c>
      <c r="Y43" s="357" t="s">
        <v>18</v>
      </c>
      <c r="Z43" s="357" t="s">
        <v>18</v>
      </c>
      <c r="AA43" s="357" t="s">
        <v>18</v>
      </c>
      <c r="AB43" s="357" t="s">
        <v>18</v>
      </c>
      <c r="AC43" s="358">
        <f t="shared" si="3"/>
        <v>0</v>
      </c>
      <c r="AD43" s="358">
        <f t="shared" si="4"/>
        <v>1.0416666666666701E-2</v>
      </c>
      <c r="AE43" s="342">
        <f t="shared" si="5"/>
        <v>1</v>
      </c>
    </row>
    <row r="44" spans="1:31">
      <c r="A44" s="341" t="s">
        <v>516</v>
      </c>
      <c r="B44" s="365" t="s">
        <v>517</v>
      </c>
      <c r="C44" s="365" t="s">
        <v>487</v>
      </c>
      <c r="D44" s="376">
        <v>2.0833333333333301E-2</v>
      </c>
      <c r="E44" s="376"/>
      <c r="F44" s="377">
        <v>1.0416666666666701E-2</v>
      </c>
      <c r="G44" s="359">
        <v>4.1666666666666699E-2</v>
      </c>
      <c r="H44" s="357" t="str">
        <f t="shared" ref="H44:H75" si="6">$H$41</f>
        <v>NÃO</v>
      </c>
      <c r="I44" s="357" t="str">
        <f>$J$58</f>
        <v>NÃO</v>
      </c>
      <c r="J44" s="357" t="s">
        <v>18</v>
      </c>
      <c r="K44" s="357" t="s">
        <v>18</v>
      </c>
      <c r="L44" s="357" t="s">
        <v>22</v>
      </c>
      <c r="M44" s="357" t="s">
        <v>18</v>
      </c>
      <c r="N44" s="357" t="s">
        <v>18</v>
      </c>
      <c r="O44" s="357" t="s">
        <v>18</v>
      </c>
      <c r="P44" s="357" t="s">
        <v>18</v>
      </c>
      <c r="Q44" s="357" t="s">
        <v>18</v>
      </c>
      <c r="R44" s="357" t="s">
        <v>18</v>
      </c>
      <c r="S44" s="357" t="s">
        <v>18</v>
      </c>
      <c r="T44" s="357" t="s">
        <v>18</v>
      </c>
      <c r="U44" s="357" t="s">
        <v>18</v>
      </c>
      <c r="V44" s="357" t="s">
        <v>22</v>
      </c>
      <c r="W44" s="357" t="s">
        <v>18</v>
      </c>
      <c r="X44" s="357" t="s">
        <v>18</v>
      </c>
      <c r="Y44" s="357" t="s">
        <v>18</v>
      </c>
      <c r="Z44" s="357" t="s">
        <v>18</v>
      </c>
      <c r="AA44" s="357" t="s">
        <v>18</v>
      </c>
      <c r="AB44" s="357" t="s">
        <v>18</v>
      </c>
      <c r="AC44" s="358">
        <f t="shared" si="3"/>
        <v>3.125E-2</v>
      </c>
      <c r="AD44" s="358">
        <f t="shared" si="4"/>
        <v>4.1666666666666699E-2</v>
      </c>
      <c r="AE44" s="342">
        <f t="shared" si="5"/>
        <v>2</v>
      </c>
    </row>
    <row r="45" spans="1:31">
      <c r="B45" s="367" t="s">
        <v>518</v>
      </c>
      <c r="C45" s="365" t="s">
        <v>487</v>
      </c>
      <c r="D45" s="381" t="s">
        <v>607</v>
      </c>
      <c r="E45" s="378"/>
      <c r="F45" s="380" t="s">
        <v>607</v>
      </c>
      <c r="G45" s="359"/>
      <c r="H45" s="357" t="str">
        <f t="shared" si="6"/>
        <v>NÃO</v>
      </c>
      <c r="I45" s="357" t="s">
        <v>18</v>
      </c>
      <c r="J45" s="357" t="s">
        <v>18</v>
      </c>
      <c r="K45" s="357" t="s">
        <v>18</v>
      </c>
      <c r="L45" s="357" t="s">
        <v>18</v>
      </c>
      <c r="M45" s="357" t="s">
        <v>18</v>
      </c>
      <c r="N45" s="357" t="s">
        <v>18</v>
      </c>
      <c r="O45" s="357" t="s">
        <v>18</v>
      </c>
      <c r="P45" s="357" t="s">
        <v>18</v>
      </c>
      <c r="Q45" s="357" t="s">
        <v>18</v>
      </c>
      <c r="R45" s="357" t="s">
        <v>18</v>
      </c>
      <c r="S45" s="357" t="s">
        <v>18</v>
      </c>
      <c r="T45" s="357" t="s">
        <v>18</v>
      </c>
      <c r="U45" s="357" t="s">
        <v>18</v>
      </c>
      <c r="V45" s="357" t="s">
        <v>18</v>
      </c>
      <c r="W45" s="357" t="s">
        <v>18</v>
      </c>
      <c r="X45" s="357" t="s">
        <v>18</v>
      </c>
      <c r="Y45" s="357" t="s">
        <v>18</v>
      </c>
      <c r="Z45" s="357" t="s">
        <v>18</v>
      </c>
      <c r="AA45" s="357" t="s">
        <v>18</v>
      </c>
      <c r="AB45" s="357" t="s">
        <v>18</v>
      </c>
      <c r="AC45" s="358">
        <f t="shared" si="3"/>
        <v>0</v>
      </c>
      <c r="AD45" s="358" t="b">
        <f t="shared" si="4"/>
        <v>0</v>
      </c>
      <c r="AE45" s="342">
        <f t="shared" si="5"/>
        <v>0</v>
      </c>
    </row>
    <row r="46" spans="1:31">
      <c r="A46" s="341" t="s">
        <v>519</v>
      </c>
      <c r="B46" s="365" t="s">
        <v>520</v>
      </c>
      <c r="C46" s="365" t="s">
        <v>487</v>
      </c>
      <c r="D46" s="376">
        <v>2.0833333333333301E-2</v>
      </c>
      <c r="E46" s="376"/>
      <c r="F46" s="377">
        <v>1.0416666666666701E-2</v>
      </c>
      <c r="G46" s="359">
        <v>1.0416666666666701E-2</v>
      </c>
      <c r="H46" s="357" t="str">
        <f t="shared" si="6"/>
        <v>NÃO</v>
      </c>
      <c r="I46" s="357" t="s">
        <v>18</v>
      </c>
      <c r="J46" s="357" t="s">
        <v>18</v>
      </c>
      <c r="K46" s="357" t="s">
        <v>18</v>
      </c>
      <c r="L46" s="357" t="s">
        <v>18</v>
      </c>
      <c r="M46" s="357" t="s">
        <v>18</v>
      </c>
      <c r="N46" s="357" t="s">
        <v>18</v>
      </c>
      <c r="O46" s="357" t="s">
        <v>18</v>
      </c>
      <c r="P46" s="357" t="s">
        <v>18</v>
      </c>
      <c r="Q46" s="357" t="s">
        <v>18</v>
      </c>
      <c r="R46" s="357" t="s">
        <v>18</v>
      </c>
      <c r="S46" s="357" t="s">
        <v>18</v>
      </c>
      <c r="T46" s="357" t="s">
        <v>18</v>
      </c>
      <c r="U46" s="357" t="s">
        <v>18</v>
      </c>
      <c r="V46" s="357" t="s">
        <v>18</v>
      </c>
      <c r="W46" s="357" t="s">
        <v>22</v>
      </c>
      <c r="X46" s="357" t="s">
        <v>18</v>
      </c>
      <c r="Y46" s="357" t="s">
        <v>18</v>
      </c>
      <c r="Z46" s="357" t="s">
        <v>18</v>
      </c>
      <c r="AA46" s="357" t="str">
        <f>$H$62</f>
        <v>NÃO</v>
      </c>
      <c r="AB46" s="357" t="s">
        <v>18</v>
      </c>
      <c r="AC46" s="358">
        <f t="shared" si="3"/>
        <v>0</v>
      </c>
      <c r="AD46" s="358" t="b">
        <f t="shared" si="4"/>
        <v>0</v>
      </c>
      <c r="AE46" s="342">
        <f t="shared" si="5"/>
        <v>1</v>
      </c>
    </row>
    <row r="47" spans="1:31">
      <c r="B47" s="367" t="s">
        <v>521</v>
      </c>
      <c r="C47" s="365" t="s">
        <v>487</v>
      </c>
      <c r="D47" s="381" t="s">
        <v>607</v>
      </c>
      <c r="E47" s="380"/>
      <c r="F47" s="380" t="s">
        <v>607</v>
      </c>
      <c r="G47" s="359"/>
      <c r="H47" s="357" t="str">
        <f t="shared" si="6"/>
        <v>NÃO</v>
      </c>
      <c r="I47" s="357" t="s">
        <v>18</v>
      </c>
      <c r="J47" s="357" t="s">
        <v>18</v>
      </c>
      <c r="K47" s="357" t="s">
        <v>18</v>
      </c>
      <c r="L47" s="357" t="s">
        <v>18</v>
      </c>
      <c r="M47" s="357" t="s">
        <v>18</v>
      </c>
      <c r="N47" s="357" t="s">
        <v>18</v>
      </c>
      <c r="O47" s="357" t="s">
        <v>18</v>
      </c>
      <c r="P47" s="357" t="s">
        <v>18</v>
      </c>
      <c r="Q47" s="357" t="s">
        <v>18</v>
      </c>
      <c r="R47" s="357" t="s">
        <v>18</v>
      </c>
      <c r="S47" s="357" t="s">
        <v>18</v>
      </c>
      <c r="T47" s="357" t="s">
        <v>18</v>
      </c>
      <c r="U47" s="357" t="s">
        <v>18</v>
      </c>
      <c r="V47" s="357" t="s">
        <v>18</v>
      </c>
      <c r="W47" s="357" t="s">
        <v>18</v>
      </c>
      <c r="X47" s="357" t="s">
        <v>18</v>
      </c>
      <c r="Y47" s="357" t="s">
        <v>18</v>
      </c>
      <c r="Z47" s="357" t="s">
        <v>18</v>
      </c>
      <c r="AA47" s="357" t="s">
        <v>18</v>
      </c>
      <c r="AB47" s="357" t="s">
        <v>18</v>
      </c>
      <c r="AC47" s="358">
        <f t="shared" si="3"/>
        <v>0</v>
      </c>
      <c r="AD47" s="358" t="b">
        <f t="shared" si="4"/>
        <v>0</v>
      </c>
      <c r="AE47" s="342">
        <f t="shared" si="5"/>
        <v>0</v>
      </c>
    </row>
    <row r="48" spans="1:31">
      <c r="B48" s="367" t="s">
        <v>522</v>
      </c>
      <c r="C48" s="365" t="s">
        <v>487</v>
      </c>
      <c r="D48" s="381" t="s">
        <v>607</v>
      </c>
      <c r="E48" s="380"/>
      <c r="F48" s="380" t="s">
        <v>607</v>
      </c>
      <c r="G48" s="359"/>
      <c r="H48" s="357" t="str">
        <f t="shared" si="6"/>
        <v>NÃO</v>
      </c>
      <c r="I48" s="357" t="s">
        <v>18</v>
      </c>
      <c r="J48" s="357" t="s">
        <v>18</v>
      </c>
      <c r="K48" s="357" t="s">
        <v>18</v>
      </c>
      <c r="L48" s="357" t="s">
        <v>18</v>
      </c>
      <c r="M48" s="357" t="s">
        <v>18</v>
      </c>
      <c r="N48" s="357" t="s">
        <v>18</v>
      </c>
      <c r="O48" s="357" t="s">
        <v>18</v>
      </c>
      <c r="P48" s="357" t="s">
        <v>18</v>
      </c>
      <c r="Q48" s="357" t="s">
        <v>18</v>
      </c>
      <c r="R48" s="357" t="s">
        <v>18</v>
      </c>
      <c r="S48" s="357" t="s">
        <v>18</v>
      </c>
      <c r="T48" s="357" t="s">
        <v>18</v>
      </c>
      <c r="U48" s="357" t="s">
        <v>18</v>
      </c>
      <c r="V48" s="357" t="s">
        <v>18</v>
      </c>
      <c r="W48" s="357" t="s">
        <v>18</v>
      </c>
      <c r="X48" s="357" t="s">
        <v>18</v>
      </c>
      <c r="Y48" s="357" t="s">
        <v>18</v>
      </c>
      <c r="Z48" s="357" t="s">
        <v>18</v>
      </c>
      <c r="AA48" s="357" t="s">
        <v>18</v>
      </c>
      <c r="AB48" s="357" t="s">
        <v>18</v>
      </c>
      <c r="AC48" s="358">
        <f t="shared" si="3"/>
        <v>0</v>
      </c>
      <c r="AD48" s="358" t="b">
        <f t="shared" si="4"/>
        <v>0</v>
      </c>
      <c r="AE48" s="342">
        <f t="shared" si="5"/>
        <v>0</v>
      </c>
    </row>
    <row r="49" spans="1:34">
      <c r="B49" s="367" t="s">
        <v>523</v>
      </c>
      <c r="C49" s="365" t="s">
        <v>487</v>
      </c>
      <c r="D49" s="381" t="s">
        <v>607</v>
      </c>
      <c r="E49" s="380"/>
      <c r="F49" s="380" t="s">
        <v>607</v>
      </c>
      <c r="G49" s="359"/>
      <c r="H49" s="357" t="str">
        <f t="shared" si="6"/>
        <v>NÃO</v>
      </c>
      <c r="I49" s="357" t="s">
        <v>18</v>
      </c>
      <c r="J49" s="357" t="s">
        <v>18</v>
      </c>
      <c r="K49" s="357" t="s">
        <v>18</v>
      </c>
      <c r="L49" s="357" t="s">
        <v>18</v>
      </c>
      <c r="M49" s="357" t="s">
        <v>18</v>
      </c>
      <c r="N49" s="357" t="s">
        <v>18</v>
      </c>
      <c r="O49" s="357" t="s">
        <v>18</v>
      </c>
      <c r="P49" s="357" t="s">
        <v>18</v>
      </c>
      <c r="Q49" s="357" t="s">
        <v>18</v>
      </c>
      <c r="R49" s="357" t="s">
        <v>18</v>
      </c>
      <c r="S49" s="357" t="s">
        <v>18</v>
      </c>
      <c r="T49" s="357" t="s">
        <v>18</v>
      </c>
      <c r="U49" s="357" t="s">
        <v>18</v>
      </c>
      <c r="V49" s="357" t="s">
        <v>18</v>
      </c>
      <c r="W49" s="357" t="s">
        <v>18</v>
      </c>
      <c r="X49" s="357" t="s">
        <v>18</v>
      </c>
      <c r="Y49" s="357" t="s">
        <v>18</v>
      </c>
      <c r="Z49" s="357" t="s">
        <v>18</v>
      </c>
      <c r="AA49" s="357" t="s">
        <v>18</v>
      </c>
      <c r="AB49" s="357" t="s">
        <v>18</v>
      </c>
      <c r="AC49" s="358">
        <f t="shared" si="3"/>
        <v>0</v>
      </c>
      <c r="AD49" s="358" t="b">
        <f t="shared" si="4"/>
        <v>0</v>
      </c>
      <c r="AE49" s="342">
        <f t="shared" si="5"/>
        <v>0</v>
      </c>
    </row>
    <row r="50" spans="1:34">
      <c r="A50" s="341" t="s">
        <v>608</v>
      </c>
      <c r="B50" s="367" t="s">
        <v>524</v>
      </c>
      <c r="C50" s="365" t="s">
        <v>487</v>
      </c>
      <c r="D50" s="375">
        <v>0.625</v>
      </c>
      <c r="E50" s="380">
        <v>0</v>
      </c>
      <c r="F50" s="380">
        <v>0</v>
      </c>
      <c r="G50" s="359"/>
      <c r="H50" s="357" t="str">
        <f t="shared" si="6"/>
        <v>NÃO</v>
      </c>
      <c r="I50" s="357" t="s">
        <v>18</v>
      </c>
      <c r="J50" s="357" t="s">
        <v>18</v>
      </c>
      <c r="K50" s="357" t="s">
        <v>18</v>
      </c>
      <c r="L50" s="357" t="s">
        <v>18</v>
      </c>
      <c r="M50" s="357" t="s">
        <v>18</v>
      </c>
      <c r="N50" s="357" t="s">
        <v>18</v>
      </c>
      <c r="O50" s="357" t="s">
        <v>18</v>
      </c>
      <c r="P50" s="357" t="s">
        <v>18</v>
      </c>
      <c r="Q50" s="357" t="s">
        <v>18</v>
      </c>
      <c r="R50" s="357" t="s">
        <v>18</v>
      </c>
      <c r="S50" s="357" t="s">
        <v>18</v>
      </c>
      <c r="T50" s="357" t="s">
        <v>18</v>
      </c>
      <c r="U50" s="357" t="s">
        <v>18</v>
      </c>
      <c r="V50" s="357" t="s">
        <v>18</v>
      </c>
      <c r="W50" s="357" t="s">
        <v>22</v>
      </c>
      <c r="X50" s="357" t="s">
        <v>18</v>
      </c>
      <c r="Y50" s="357" t="s">
        <v>18</v>
      </c>
      <c r="Z50" s="357" t="s">
        <v>18</v>
      </c>
      <c r="AA50" s="357" t="s">
        <v>18</v>
      </c>
      <c r="AB50" s="357" t="s">
        <v>18</v>
      </c>
      <c r="AC50" s="358">
        <f t="shared" si="3"/>
        <v>0</v>
      </c>
      <c r="AD50" s="358" t="b">
        <f t="shared" si="4"/>
        <v>0</v>
      </c>
      <c r="AE50" s="342">
        <f t="shared" si="5"/>
        <v>1</v>
      </c>
    </row>
    <row r="51" spans="1:34">
      <c r="B51" s="367" t="s">
        <v>525</v>
      </c>
      <c r="C51" s="365" t="s">
        <v>487</v>
      </c>
      <c r="D51" s="381" t="s">
        <v>607</v>
      </c>
      <c r="E51" s="380"/>
      <c r="F51" s="380" t="s">
        <v>607</v>
      </c>
      <c r="G51" s="359"/>
      <c r="H51" s="357" t="str">
        <f t="shared" si="6"/>
        <v>NÃO</v>
      </c>
      <c r="I51" s="357" t="s">
        <v>18</v>
      </c>
      <c r="J51" s="357" t="s">
        <v>18</v>
      </c>
      <c r="K51" s="357" t="s">
        <v>18</v>
      </c>
      <c r="L51" s="357" t="s">
        <v>18</v>
      </c>
      <c r="M51" s="357" t="s">
        <v>18</v>
      </c>
      <c r="N51" s="357" t="s">
        <v>18</v>
      </c>
      <c r="O51" s="357" t="s">
        <v>18</v>
      </c>
      <c r="P51" s="357" t="s">
        <v>18</v>
      </c>
      <c r="Q51" s="357" t="s">
        <v>18</v>
      </c>
      <c r="R51" s="357" t="s">
        <v>18</v>
      </c>
      <c r="S51" s="357" t="s">
        <v>18</v>
      </c>
      <c r="T51" s="357" t="s">
        <v>18</v>
      </c>
      <c r="U51" s="357" t="s">
        <v>18</v>
      </c>
      <c r="V51" s="357" t="s">
        <v>18</v>
      </c>
      <c r="W51" s="357" t="s">
        <v>18</v>
      </c>
      <c r="X51" s="357" t="s">
        <v>18</v>
      </c>
      <c r="Y51" s="357" t="s">
        <v>18</v>
      </c>
      <c r="Z51" s="357" t="s">
        <v>18</v>
      </c>
      <c r="AA51" s="357" t="s">
        <v>18</v>
      </c>
      <c r="AB51" s="357" t="s">
        <v>18</v>
      </c>
      <c r="AC51" s="358">
        <f t="shared" si="3"/>
        <v>0</v>
      </c>
      <c r="AD51" s="358" t="b">
        <f t="shared" si="4"/>
        <v>0</v>
      </c>
      <c r="AE51" s="342">
        <f t="shared" si="5"/>
        <v>0</v>
      </c>
    </row>
    <row r="52" spans="1:34">
      <c r="A52" s="341" t="s">
        <v>526</v>
      </c>
      <c r="B52" s="365" t="s">
        <v>527</v>
      </c>
      <c r="C52" s="365" t="s">
        <v>487</v>
      </c>
      <c r="D52" s="376"/>
      <c r="E52" s="376"/>
      <c r="F52" s="377"/>
      <c r="G52" s="359">
        <v>6.9444444444444397E-3</v>
      </c>
      <c r="H52" s="357" t="str">
        <f t="shared" si="6"/>
        <v>NÃO</v>
      </c>
      <c r="I52" s="357" t="s">
        <v>18</v>
      </c>
      <c r="J52" s="357" t="s">
        <v>18</v>
      </c>
      <c r="K52" s="357" t="s">
        <v>18</v>
      </c>
      <c r="L52" s="357" t="s">
        <v>18</v>
      </c>
      <c r="M52" s="357" t="s">
        <v>18</v>
      </c>
      <c r="N52" s="357" t="s">
        <v>18</v>
      </c>
      <c r="O52" s="357" t="s">
        <v>18</v>
      </c>
      <c r="P52" s="357" t="s">
        <v>18</v>
      </c>
      <c r="Q52" s="357" t="s">
        <v>18</v>
      </c>
      <c r="R52" s="357" t="s">
        <v>18</v>
      </c>
      <c r="S52" s="357" t="s">
        <v>18</v>
      </c>
      <c r="T52" s="357" t="s">
        <v>18</v>
      </c>
      <c r="U52" s="357" t="s">
        <v>18</v>
      </c>
      <c r="V52" s="357" t="s">
        <v>22</v>
      </c>
      <c r="W52" s="357" t="s">
        <v>18</v>
      </c>
      <c r="X52" s="357" t="s">
        <v>18</v>
      </c>
      <c r="Y52" s="357" t="s">
        <v>18</v>
      </c>
      <c r="Z52" s="357" t="s">
        <v>18</v>
      </c>
      <c r="AA52" s="357" t="s">
        <v>18</v>
      </c>
      <c r="AB52" s="357" t="s">
        <v>18</v>
      </c>
      <c r="AC52" s="358">
        <f t="shared" si="3"/>
        <v>0</v>
      </c>
      <c r="AD52" s="358">
        <f t="shared" si="4"/>
        <v>6.9444444444444397E-3</v>
      </c>
      <c r="AE52" s="342">
        <f t="shared" si="5"/>
        <v>1</v>
      </c>
    </row>
    <row r="53" spans="1:34">
      <c r="B53" s="367" t="s">
        <v>528</v>
      </c>
      <c r="C53" s="365" t="s">
        <v>487</v>
      </c>
      <c r="D53" s="381" t="s">
        <v>607</v>
      </c>
      <c r="E53" s="380"/>
      <c r="F53" s="380" t="s">
        <v>607</v>
      </c>
      <c r="G53" s="359"/>
      <c r="H53" s="357" t="str">
        <f t="shared" si="6"/>
        <v>NÃO</v>
      </c>
      <c r="I53" s="357" t="s">
        <v>18</v>
      </c>
      <c r="J53" s="357" t="s">
        <v>18</v>
      </c>
      <c r="K53" s="357" t="s">
        <v>18</v>
      </c>
      <c r="L53" s="357" t="s">
        <v>18</v>
      </c>
      <c r="M53" s="357" t="s">
        <v>18</v>
      </c>
      <c r="N53" s="357" t="s">
        <v>18</v>
      </c>
      <c r="O53" s="357" t="s">
        <v>18</v>
      </c>
      <c r="P53" s="357" t="s">
        <v>18</v>
      </c>
      <c r="Q53" s="357" t="s">
        <v>18</v>
      </c>
      <c r="R53" s="357" t="s">
        <v>18</v>
      </c>
      <c r="S53" s="357" t="s">
        <v>18</v>
      </c>
      <c r="T53" s="357" t="s">
        <v>18</v>
      </c>
      <c r="U53" s="357" t="s">
        <v>18</v>
      </c>
      <c r="V53" s="357" t="str">
        <f>$I$63</f>
        <v>NÃO</v>
      </c>
      <c r="W53" s="357" t="s">
        <v>18</v>
      </c>
      <c r="X53" s="357" t="s">
        <v>18</v>
      </c>
      <c r="Y53" s="357" t="s">
        <v>18</v>
      </c>
      <c r="Z53" s="357" t="s">
        <v>18</v>
      </c>
      <c r="AA53" s="357" t="s">
        <v>18</v>
      </c>
      <c r="AB53" s="357" t="s">
        <v>18</v>
      </c>
      <c r="AC53" s="358">
        <f t="shared" si="3"/>
        <v>0</v>
      </c>
      <c r="AD53" s="358" t="b">
        <f t="shared" si="4"/>
        <v>0</v>
      </c>
      <c r="AE53" s="342">
        <f t="shared" si="5"/>
        <v>0</v>
      </c>
    </row>
    <row r="54" spans="1:34">
      <c r="B54" s="367" t="s">
        <v>529</v>
      </c>
      <c r="C54" s="365" t="s">
        <v>487</v>
      </c>
      <c r="D54" s="381" t="s">
        <v>607</v>
      </c>
      <c r="E54" s="380"/>
      <c r="F54" s="380" t="s">
        <v>607</v>
      </c>
      <c r="G54" s="359"/>
      <c r="H54" s="357" t="str">
        <f t="shared" si="6"/>
        <v>NÃO</v>
      </c>
      <c r="I54" s="357" t="s">
        <v>18</v>
      </c>
      <c r="J54" s="357" t="s">
        <v>18</v>
      </c>
      <c r="K54" s="357" t="s">
        <v>18</v>
      </c>
      <c r="L54" s="357" t="s">
        <v>18</v>
      </c>
      <c r="M54" s="357" t="s">
        <v>18</v>
      </c>
      <c r="N54" s="357" t="s">
        <v>18</v>
      </c>
      <c r="O54" s="357" t="s">
        <v>18</v>
      </c>
      <c r="P54" s="357" t="s">
        <v>18</v>
      </c>
      <c r="Q54" s="357" t="s">
        <v>18</v>
      </c>
      <c r="R54" s="357" t="s">
        <v>18</v>
      </c>
      <c r="S54" s="357" t="s">
        <v>18</v>
      </c>
      <c r="T54" s="357" t="s">
        <v>18</v>
      </c>
      <c r="U54" s="357" t="s">
        <v>18</v>
      </c>
      <c r="V54" s="357" t="str">
        <f>$I$63</f>
        <v>NÃO</v>
      </c>
      <c r="W54" s="357" t="s">
        <v>18</v>
      </c>
      <c r="X54" s="357" t="s">
        <v>18</v>
      </c>
      <c r="Y54" s="357" t="s">
        <v>18</v>
      </c>
      <c r="Z54" s="357" t="s">
        <v>18</v>
      </c>
      <c r="AA54" s="357" t="s">
        <v>18</v>
      </c>
      <c r="AB54" s="357" t="s">
        <v>18</v>
      </c>
      <c r="AC54" s="358">
        <f t="shared" si="3"/>
        <v>0</v>
      </c>
      <c r="AD54" s="358" t="b">
        <f t="shared" si="4"/>
        <v>0</v>
      </c>
      <c r="AE54" s="342">
        <f t="shared" si="5"/>
        <v>0</v>
      </c>
    </row>
    <row r="55" spans="1:34">
      <c r="B55" s="367" t="s">
        <v>530</v>
      </c>
      <c r="C55" s="365" t="s">
        <v>487</v>
      </c>
      <c r="D55" s="381" t="s">
        <v>607</v>
      </c>
      <c r="E55" s="380"/>
      <c r="F55" s="380" t="s">
        <v>607</v>
      </c>
      <c r="G55" s="359"/>
      <c r="H55" s="357" t="str">
        <f t="shared" si="6"/>
        <v>NÃO</v>
      </c>
      <c r="I55" s="357" t="s">
        <v>18</v>
      </c>
      <c r="J55" s="357" t="s">
        <v>18</v>
      </c>
      <c r="K55" s="357" t="s">
        <v>18</v>
      </c>
      <c r="L55" s="357" t="s">
        <v>18</v>
      </c>
      <c r="M55" s="357" t="s">
        <v>18</v>
      </c>
      <c r="N55" s="357" t="s">
        <v>18</v>
      </c>
      <c r="O55" s="357" t="s">
        <v>18</v>
      </c>
      <c r="P55" s="357" t="s">
        <v>18</v>
      </c>
      <c r="Q55" s="357" t="s">
        <v>18</v>
      </c>
      <c r="R55" s="357" t="s">
        <v>18</v>
      </c>
      <c r="S55" s="357" t="s">
        <v>18</v>
      </c>
      <c r="T55" s="357" t="s">
        <v>18</v>
      </c>
      <c r="U55" s="357" t="s">
        <v>18</v>
      </c>
      <c r="V55" s="357" t="str">
        <f>$I$63</f>
        <v>NÃO</v>
      </c>
      <c r="W55" s="357" t="s">
        <v>18</v>
      </c>
      <c r="X55" s="357" t="s">
        <v>18</v>
      </c>
      <c r="Y55" s="357" t="s">
        <v>18</v>
      </c>
      <c r="Z55" s="357" t="s">
        <v>18</v>
      </c>
      <c r="AA55" s="357" t="s">
        <v>18</v>
      </c>
      <c r="AB55" s="357" t="s">
        <v>18</v>
      </c>
      <c r="AC55" s="358">
        <f t="shared" si="3"/>
        <v>0</v>
      </c>
      <c r="AD55" s="358" t="b">
        <f t="shared" si="4"/>
        <v>0</v>
      </c>
      <c r="AE55" s="342">
        <f t="shared" si="5"/>
        <v>0</v>
      </c>
    </row>
    <row r="56" spans="1:34">
      <c r="A56" s="341" t="s">
        <v>531</v>
      </c>
      <c r="B56" s="365" t="s">
        <v>532</v>
      </c>
      <c r="C56" s="365" t="s">
        <v>487</v>
      </c>
      <c r="D56" s="376"/>
      <c r="E56" s="376"/>
      <c r="F56" s="377"/>
      <c r="G56" s="359">
        <v>2.0833333333333301E-2</v>
      </c>
      <c r="H56" s="357" t="str">
        <f t="shared" si="6"/>
        <v>NÃO</v>
      </c>
      <c r="I56" s="357" t="s">
        <v>18</v>
      </c>
      <c r="J56" s="357" t="s">
        <v>18</v>
      </c>
      <c r="K56" s="357" t="s">
        <v>18</v>
      </c>
      <c r="L56" s="357" t="s">
        <v>18</v>
      </c>
      <c r="M56" s="357" t="s">
        <v>18</v>
      </c>
      <c r="N56" s="357" t="s">
        <v>18</v>
      </c>
      <c r="O56" s="357" t="s">
        <v>18</v>
      </c>
      <c r="P56" s="357" t="s">
        <v>18</v>
      </c>
      <c r="Q56" s="357" t="s">
        <v>18</v>
      </c>
      <c r="R56" s="357" t="s">
        <v>18</v>
      </c>
      <c r="S56" s="357" t="s">
        <v>18</v>
      </c>
      <c r="T56" s="357" t="s">
        <v>18</v>
      </c>
      <c r="U56" s="357" t="s">
        <v>18</v>
      </c>
      <c r="V56" s="357" t="s">
        <v>22</v>
      </c>
      <c r="W56" s="357" t="s">
        <v>18</v>
      </c>
      <c r="X56" s="357" t="s">
        <v>18</v>
      </c>
      <c r="Y56" s="357" t="s">
        <v>18</v>
      </c>
      <c r="Z56" s="357" t="s">
        <v>18</v>
      </c>
      <c r="AA56" s="357" t="s">
        <v>18</v>
      </c>
      <c r="AB56" s="357" t="s">
        <v>18</v>
      </c>
      <c r="AC56" s="358">
        <f t="shared" si="3"/>
        <v>0</v>
      </c>
      <c r="AD56" s="358">
        <f t="shared" si="4"/>
        <v>2.0833333333333301E-2</v>
      </c>
      <c r="AE56" s="342">
        <f t="shared" si="5"/>
        <v>1</v>
      </c>
    </row>
    <row r="57" spans="1:34">
      <c r="B57" s="367" t="s">
        <v>533</v>
      </c>
      <c r="C57" s="365" t="s">
        <v>487</v>
      </c>
      <c r="D57" s="381" t="s">
        <v>607</v>
      </c>
      <c r="E57" s="380"/>
      <c r="F57" s="380" t="s">
        <v>607</v>
      </c>
      <c r="G57" s="359"/>
      <c r="H57" s="357" t="str">
        <f t="shared" si="6"/>
        <v>NÃO</v>
      </c>
      <c r="I57" s="357" t="s">
        <v>18</v>
      </c>
      <c r="J57" s="357" t="s">
        <v>18</v>
      </c>
      <c r="K57" s="357" t="s">
        <v>18</v>
      </c>
      <c r="L57" s="357" t="s">
        <v>18</v>
      </c>
      <c r="M57" s="357" t="s">
        <v>18</v>
      </c>
      <c r="N57" s="357" t="s">
        <v>18</v>
      </c>
      <c r="O57" s="357" t="s">
        <v>18</v>
      </c>
      <c r="P57" s="357" t="s">
        <v>18</v>
      </c>
      <c r="Q57" s="357" t="s">
        <v>18</v>
      </c>
      <c r="R57" s="357" t="s">
        <v>18</v>
      </c>
      <c r="S57" s="357" t="s">
        <v>18</v>
      </c>
      <c r="T57" s="357" t="s">
        <v>18</v>
      </c>
      <c r="U57" s="357" t="s">
        <v>18</v>
      </c>
      <c r="V57" s="357" t="str">
        <f>$I$63</f>
        <v>NÃO</v>
      </c>
      <c r="W57" s="357" t="s">
        <v>18</v>
      </c>
      <c r="X57" s="357" t="s">
        <v>18</v>
      </c>
      <c r="Y57" s="357" t="s">
        <v>18</v>
      </c>
      <c r="Z57" s="357" t="s">
        <v>18</v>
      </c>
      <c r="AA57" s="357" t="s">
        <v>18</v>
      </c>
      <c r="AB57" s="357" t="s">
        <v>18</v>
      </c>
      <c r="AC57" s="358">
        <f t="shared" si="3"/>
        <v>0</v>
      </c>
      <c r="AD57" s="358" t="b">
        <f t="shared" si="4"/>
        <v>0</v>
      </c>
      <c r="AE57" s="342">
        <f t="shared" si="5"/>
        <v>0</v>
      </c>
    </row>
    <row r="58" spans="1:34">
      <c r="B58" s="367" t="s">
        <v>535</v>
      </c>
      <c r="C58" s="365" t="s">
        <v>487</v>
      </c>
      <c r="D58" s="381" t="s">
        <v>607</v>
      </c>
      <c r="E58" s="380"/>
      <c r="F58" s="380" t="s">
        <v>607</v>
      </c>
      <c r="G58" s="359"/>
      <c r="H58" s="357" t="str">
        <f t="shared" si="6"/>
        <v>NÃO</v>
      </c>
      <c r="I58" s="357" t="s">
        <v>18</v>
      </c>
      <c r="J58" s="357" t="s">
        <v>18</v>
      </c>
      <c r="K58" s="357" t="s">
        <v>18</v>
      </c>
      <c r="L58" s="357" t="s">
        <v>18</v>
      </c>
      <c r="M58" s="357" t="s">
        <v>18</v>
      </c>
      <c r="N58" s="357" t="s">
        <v>18</v>
      </c>
      <c r="O58" s="357" t="s">
        <v>18</v>
      </c>
      <c r="P58" s="357" t="s">
        <v>18</v>
      </c>
      <c r="Q58" s="357" t="s">
        <v>18</v>
      </c>
      <c r="R58" s="357" t="s">
        <v>18</v>
      </c>
      <c r="S58" s="357" t="s">
        <v>18</v>
      </c>
      <c r="T58" s="357" t="s">
        <v>18</v>
      </c>
      <c r="U58" s="357" t="s">
        <v>18</v>
      </c>
      <c r="V58" s="357" t="str">
        <f>$I$63</f>
        <v>NÃO</v>
      </c>
      <c r="W58" s="357" t="s">
        <v>18</v>
      </c>
      <c r="X58" s="357" t="s">
        <v>18</v>
      </c>
      <c r="Y58" s="357" t="s">
        <v>18</v>
      </c>
      <c r="Z58" s="357" t="s">
        <v>18</v>
      </c>
      <c r="AA58" s="357" t="str">
        <f>$H$62</f>
        <v>NÃO</v>
      </c>
      <c r="AB58" s="357" t="s">
        <v>18</v>
      </c>
      <c r="AC58" s="358">
        <f t="shared" si="3"/>
        <v>0</v>
      </c>
      <c r="AD58" s="358" t="b">
        <f t="shared" si="4"/>
        <v>0</v>
      </c>
      <c r="AE58" s="342">
        <f t="shared" si="5"/>
        <v>0</v>
      </c>
    </row>
    <row r="59" spans="1:34">
      <c r="A59" s="341" t="s">
        <v>536</v>
      </c>
      <c r="B59" s="368" t="s">
        <v>537</v>
      </c>
      <c r="C59" s="368" t="s">
        <v>487</v>
      </c>
      <c r="D59" s="376">
        <v>0.25</v>
      </c>
      <c r="E59" s="376"/>
      <c r="F59" s="377"/>
      <c r="G59" s="359">
        <v>1.38888888888889E-2</v>
      </c>
      <c r="H59" s="357" t="str">
        <f t="shared" si="6"/>
        <v>NÃO</v>
      </c>
      <c r="I59" s="357" t="s">
        <v>18</v>
      </c>
      <c r="J59" s="357" t="s">
        <v>18</v>
      </c>
      <c r="K59" s="357" t="s">
        <v>18</v>
      </c>
      <c r="L59" s="357" t="s">
        <v>18</v>
      </c>
      <c r="M59" s="357" t="s">
        <v>18</v>
      </c>
      <c r="N59" s="357" t="s">
        <v>18</v>
      </c>
      <c r="O59" s="357" t="s">
        <v>18</v>
      </c>
      <c r="P59" s="357" t="s">
        <v>18</v>
      </c>
      <c r="Q59" s="357" t="s">
        <v>18</v>
      </c>
      <c r="R59" s="357" t="s">
        <v>18</v>
      </c>
      <c r="S59" s="357" t="s">
        <v>18</v>
      </c>
      <c r="T59" s="357" t="s">
        <v>18</v>
      </c>
      <c r="U59" s="357" t="s">
        <v>18</v>
      </c>
      <c r="V59" s="357" t="s">
        <v>18</v>
      </c>
      <c r="W59" s="357" t="s">
        <v>18</v>
      </c>
      <c r="X59" s="357" t="s">
        <v>18</v>
      </c>
      <c r="Y59" s="357" t="s">
        <v>18</v>
      </c>
      <c r="Z59" s="357" t="s">
        <v>22</v>
      </c>
      <c r="AA59" s="357" t="str">
        <f>$H$62</f>
        <v>NÃO</v>
      </c>
      <c r="AB59" s="357" t="s">
        <v>18</v>
      </c>
      <c r="AC59" s="358">
        <f t="shared" si="3"/>
        <v>0</v>
      </c>
      <c r="AD59" s="358" t="b">
        <f t="shared" si="4"/>
        <v>0</v>
      </c>
      <c r="AE59" s="342">
        <f t="shared" si="5"/>
        <v>1</v>
      </c>
    </row>
    <row r="60" spans="1:34">
      <c r="B60" s="367" t="s">
        <v>538</v>
      </c>
      <c r="C60" s="368" t="s">
        <v>487</v>
      </c>
      <c r="D60" s="381" t="s">
        <v>607</v>
      </c>
      <c r="E60" s="380"/>
      <c r="F60" s="380" t="s">
        <v>607</v>
      </c>
      <c r="G60" s="359"/>
      <c r="H60" s="357" t="str">
        <f t="shared" si="6"/>
        <v>NÃO</v>
      </c>
      <c r="I60" s="357" t="s">
        <v>18</v>
      </c>
      <c r="J60" s="357" t="s">
        <v>18</v>
      </c>
      <c r="K60" s="357" t="s">
        <v>18</v>
      </c>
      <c r="L60" s="357" t="s">
        <v>18</v>
      </c>
      <c r="M60" s="357" t="s">
        <v>18</v>
      </c>
      <c r="N60" s="357" t="s">
        <v>18</v>
      </c>
      <c r="O60" s="357" t="s">
        <v>18</v>
      </c>
      <c r="P60" s="357" t="s">
        <v>18</v>
      </c>
      <c r="Q60" s="357" t="s">
        <v>18</v>
      </c>
      <c r="R60" s="357" t="s">
        <v>18</v>
      </c>
      <c r="S60" s="357" t="s">
        <v>18</v>
      </c>
      <c r="T60" s="357" t="s">
        <v>18</v>
      </c>
      <c r="U60" s="357" t="s">
        <v>18</v>
      </c>
      <c r="V60" s="357" t="s">
        <v>18</v>
      </c>
      <c r="W60" s="357" t="s">
        <v>18</v>
      </c>
      <c r="X60" s="357" t="s">
        <v>18</v>
      </c>
      <c r="Y60" s="357" t="s">
        <v>18</v>
      </c>
      <c r="Z60" s="357" t="s">
        <v>18</v>
      </c>
      <c r="AA60" s="357" t="str">
        <f>$H$62</f>
        <v>NÃO</v>
      </c>
      <c r="AB60" s="357" t="s">
        <v>18</v>
      </c>
      <c r="AC60" s="358">
        <f t="shared" si="3"/>
        <v>0</v>
      </c>
      <c r="AD60" s="358" t="b">
        <f t="shared" si="4"/>
        <v>0</v>
      </c>
      <c r="AE60" s="342">
        <f t="shared" si="5"/>
        <v>0</v>
      </c>
    </row>
    <row r="61" spans="1:34">
      <c r="A61" s="341" t="s">
        <v>539</v>
      </c>
      <c r="B61" s="367" t="s">
        <v>540</v>
      </c>
      <c r="C61" s="368" t="s">
        <v>487</v>
      </c>
      <c r="D61" s="381" t="s">
        <v>607</v>
      </c>
      <c r="E61" s="380"/>
      <c r="F61" s="380" t="s">
        <v>607</v>
      </c>
      <c r="G61" s="359"/>
      <c r="H61" s="357" t="str">
        <f t="shared" si="6"/>
        <v>NÃO</v>
      </c>
      <c r="I61" s="357" t="s">
        <v>18</v>
      </c>
      <c r="J61" s="357" t="s">
        <v>18</v>
      </c>
      <c r="K61" s="357" t="s">
        <v>18</v>
      </c>
      <c r="L61" s="357" t="s">
        <v>18</v>
      </c>
      <c r="M61" s="357" t="s">
        <v>18</v>
      </c>
      <c r="N61" s="357" t="s">
        <v>18</v>
      </c>
      <c r="O61" s="357" t="s">
        <v>18</v>
      </c>
      <c r="P61" s="357" t="s">
        <v>18</v>
      </c>
      <c r="Q61" s="357" t="s">
        <v>18</v>
      </c>
      <c r="R61" s="357" t="s">
        <v>18</v>
      </c>
      <c r="S61" s="357" t="s">
        <v>18</v>
      </c>
      <c r="T61" s="357" t="s">
        <v>18</v>
      </c>
      <c r="U61" s="357" t="s">
        <v>18</v>
      </c>
      <c r="V61" s="357" t="s">
        <v>18</v>
      </c>
      <c r="W61" s="357" t="s">
        <v>18</v>
      </c>
      <c r="X61" s="357" t="s">
        <v>18</v>
      </c>
      <c r="Y61" s="357" t="s">
        <v>18</v>
      </c>
      <c r="Z61" s="357" t="str">
        <f>$I$63</f>
        <v>NÃO</v>
      </c>
      <c r="AA61" s="357" t="str">
        <f>$H$62</f>
        <v>NÃO</v>
      </c>
      <c r="AB61" s="357" t="s">
        <v>18</v>
      </c>
      <c r="AC61" s="358">
        <f t="shared" si="3"/>
        <v>0</v>
      </c>
      <c r="AD61" s="358" t="b">
        <f t="shared" si="4"/>
        <v>0</v>
      </c>
      <c r="AE61" s="342">
        <f t="shared" si="5"/>
        <v>0</v>
      </c>
    </row>
    <row r="62" spans="1:34">
      <c r="A62" s="341" t="s">
        <v>541</v>
      </c>
      <c r="B62" s="368" t="s">
        <v>542</v>
      </c>
      <c r="C62" s="368" t="s">
        <v>487</v>
      </c>
      <c r="D62" s="376">
        <v>2.0833333333333301E-2</v>
      </c>
      <c r="E62" s="376"/>
      <c r="F62" s="377">
        <v>1.0416666666666701E-2</v>
      </c>
      <c r="G62" s="359">
        <v>2.0833333333333301E-2</v>
      </c>
      <c r="H62" s="357" t="str">
        <f t="shared" si="6"/>
        <v>NÃO</v>
      </c>
      <c r="I62" s="357" t="s">
        <v>18</v>
      </c>
      <c r="J62" s="357" t="s">
        <v>18</v>
      </c>
      <c r="K62" s="357" t="s">
        <v>18</v>
      </c>
      <c r="L62" s="357" t="s">
        <v>18</v>
      </c>
      <c r="M62" s="357" t="s">
        <v>18</v>
      </c>
      <c r="N62" s="357" t="s">
        <v>18</v>
      </c>
      <c r="O62" s="357" t="s">
        <v>18</v>
      </c>
      <c r="P62" s="357" t="s">
        <v>18</v>
      </c>
      <c r="Q62" s="357" t="s">
        <v>18</v>
      </c>
      <c r="R62" s="357" t="s">
        <v>18</v>
      </c>
      <c r="S62" s="357" t="s">
        <v>18</v>
      </c>
      <c r="T62" s="357" t="s">
        <v>18</v>
      </c>
      <c r="U62" s="357" t="s">
        <v>18</v>
      </c>
      <c r="V62" s="357" t="s">
        <v>22</v>
      </c>
      <c r="W62" s="357" t="s">
        <v>18</v>
      </c>
      <c r="X62" s="357" t="s">
        <v>18</v>
      </c>
      <c r="Y62" s="357" t="s">
        <v>18</v>
      </c>
      <c r="Z62" s="357" t="s">
        <v>22</v>
      </c>
      <c r="AA62" s="357" t="str">
        <f>$H$62</f>
        <v>NÃO</v>
      </c>
      <c r="AB62" s="357" t="s">
        <v>18</v>
      </c>
      <c r="AC62" s="358">
        <f t="shared" si="3"/>
        <v>3.125E-2</v>
      </c>
      <c r="AD62" s="358">
        <f t="shared" si="4"/>
        <v>2.0833333333333301E-2</v>
      </c>
      <c r="AE62" s="342">
        <f t="shared" si="5"/>
        <v>2</v>
      </c>
      <c r="AF62" s="369"/>
      <c r="AG62" s="369"/>
      <c r="AH62" s="369"/>
    </row>
    <row r="63" spans="1:34" ht="15" customHeight="1">
      <c r="A63" s="594" t="s">
        <v>543</v>
      </c>
      <c r="B63" s="368" t="s">
        <v>544</v>
      </c>
      <c r="C63" s="368" t="s">
        <v>487</v>
      </c>
      <c r="D63" s="647"/>
      <c r="E63" s="648"/>
      <c r="F63" s="639"/>
      <c r="G63" s="602">
        <v>2.0833333333333301E-2</v>
      </c>
      <c r="H63" s="357" t="str">
        <f t="shared" si="6"/>
        <v>NÃO</v>
      </c>
      <c r="I63" s="357" t="s">
        <v>18</v>
      </c>
      <c r="J63" s="357" t="s">
        <v>18</v>
      </c>
      <c r="K63" s="357" t="s">
        <v>18</v>
      </c>
      <c r="L63" s="357" t="s">
        <v>18</v>
      </c>
      <c r="M63" s="357" t="s">
        <v>18</v>
      </c>
      <c r="N63" s="357" t="s">
        <v>18</v>
      </c>
      <c r="O63" s="357" t="s">
        <v>18</v>
      </c>
      <c r="P63" s="357" t="s">
        <v>18</v>
      </c>
      <c r="Q63" s="357" t="s">
        <v>18</v>
      </c>
      <c r="R63" s="357" t="s">
        <v>18</v>
      </c>
      <c r="S63" s="357" t="s">
        <v>18</v>
      </c>
      <c r="T63" s="357" t="s">
        <v>18</v>
      </c>
      <c r="U63" s="357" t="s">
        <v>18</v>
      </c>
      <c r="V63" s="357" t="s">
        <v>22</v>
      </c>
      <c r="W63" s="357" t="s">
        <v>18</v>
      </c>
      <c r="X63" s="357" t="s">
        <v>18</v>
      </c>
      <c r="Y63" s="357" t="s">
        <v>18</v>
      </c>
      <c r="Z63" s="357" t="s">
        <v>18</v>
      </c>
      <c r="AA63" s="357" t="s">
        <v>18</v>
      </c>
      <c r="AB63" s="357" t="s">
        <v>18</v>
      </c>
      <c r="AC63" s="358">
        <f t="shared" si="3"/>
        <v>0</v>
      </c>
      <c r="AD63" s="358">
        <f t="shared" si="4"/>
        <v>2.0833333333333301E-2</v>
      </c>
      <c r="AE63" s="342">
        <f t="shared" si="5"/>
        <v>1</v>
      </c>
    </row>
    <row r="64" spans="1:34">
      <c r="A64" s="594"/>
      <c r="B64" s="368" t="s">
        <v>545</v>
      </c>
      <c r="C64" s="368" t="s">
        <v>487</v>
      </c>
      <c r="D64" s="647"/>
      <c r="E64" s="648"/>
      <c r="F64" s="648"/>
      <c r="G64" s="602"/>
      <c r="H64" s="357" t="str">
        <f t="shared" si="6"/>
        <v>NÃO</v>
      </c>
      <c r="I64" s="357" t="s">
        <v>18</v>
      </c>
      <c r="J64" s="357" t="s">
        <v>18</v>
      </c>
      <c r="K64" s="357" t="s">
        <v>18</v>
      </c>
      <c r="L64" s="357" t="s">
        <v>18</v>
      </c>
      <c r="M64" s="357" t="s">
        <v>18</v>
      </c>
      <c r="N64" s="357" t="s">
        <v>18</v>
      </c>
      <c r="O64" s="357" t="s">
        <v>18</v>
      </c>
      <c r="P64" s="357" t="s">
        <v>18</v>
      </c>
      <c r="Q64" s="357" t="s">
        <v>18</v>
      </c>
      <c r="R64" s="357" t="s">
        <v>18</v>
      </c>
      <c r="S64" s="357" t="s">
        <v>18</v>
      </c>
      <c r="T64" s="357" t="s">
        <v>18</v>
      </c>
      <c r="U64" s="357" t="s">
        <v>18</v>
      </c>
      <c r="V64" s="357" t="s">
        <v>22</v>
      </c>
      <c r="W64" s="357" t="s">
        <v>18</v>
      </c>
      <c r="X64" s="357" t="s">
        <v>18</v>
      </c>
      <c r="Y64" s="357" t="s">
        <v>18</v>
      </c>
      <c r="Z64" s="357" t="str">
        <f>$I$63</f>
        <v>NÃO</v>
      </c>
      <c r="AA64" s="357" t="str">
        <f>$H$62</f>
        <v>NÃO</v>
      </c>
      <c r="AB64" s="357" t="s">
        <v>18</v>
      </c>
      <c r="AC64" s="358">
        <f t="shared" si="3"/>
        <v>0</v>
      </c>
      <c r="AD64" s="358">
        <f t="shared" si="4"/>
        <v>0</v>
      </c>
      <c r="AE64" s="342">
        <f t="shared" si="5"/>
        <v>1</v>
      </c>
    </row>
    <row r="65" spans="1:31">
      <c r="A65" s="594"/>
      <c r="B65" s="366" t="s">
        <v>546</v>
      </c>
      <c r="C65" s="368" t="s">
        <v>487</v>
      </c>
      <c r="D65" s="647"/>
      <c r="E65" s="648"/>
      <c r="F65" s="639"/>
      <c r="G65" s="602"/>
      <c r="H65" s="357" t="str">
        <f t="shared" si="6"/>
        <v>NÃO</v>
      </c>
      <c r="I65" s="357" t="s">
        <v>18</v>
      </c>
      <c r="J65" s="357" t="s">
        <v>18</v>
      </c>
      <c r="K65" s="357" t="s">
        <v>18</v>
      </c>
      <c r="L65" s="357" t="s">
        <v>18</v>
      </c>
      <c r="M65" s="357" t="s">
        <v>18</v>
      </c>
      <c r="N65" s="357" t="s">
        <v>18</v>
      </c>
      <c r="O65" s="357" t="s">
        <v>18</v>
      </c>
      <c r="P65" s="357" t="s">
        <v>18</v>
      </c>
      <c r="Q65" s="357" t="s">
        <v>18</v>
      </c>
      <c r="R65" s="357" t="s">
        <v>18</v>
      </c>
      <c r="S65" s="357" t="s">
        <v>18</v>
      </c>
      <c r="T65" s="357" t="s">
        <v>18</v>
      </c>
      <c r="U65" s="357" t="s">
        <v>18</v>
      </c>
      <c r="V65" s="357" t="s">
        <v>22</v>
      </c>
      <c r="W65" s="357" t="s">
        <v>18</v>
      </c>
      <c r="X65" s="357" t="s">
        <v>18</v>
      </c>
      <c r="Y65" s="357" t="s">
        <v>18</v>
      </c>
      <c r="Z65" s="357" t="str">
        <f>$I$63</f>
        <v>NÃO</v>
      </c>
      <c r="AA65" s="357" t="str">
        <f>$H$62</f>
        <v>NÃO</v>
      </c>
      <c r="AB65" s="357" t="s">
        <v>18</v>
      </c>
      <c r="AC65" s="358">
        <f t="shared" si="3"/>
        <v>0</v>
      </c>
      <c r="AD65" s="358">
        <f t="shared" si="4"/>
        <v>0</v>
      </c>
      <c r="AE65" s="342">
        <f t="shared" si="5"/>
        <v>1</v>
      </c>
    </row>
    <row r="66" spans="1:31">
      <c r="A66" s="341" t="s">
        <v>547</v>
      </c>
      <c r="B66" s="368" t="s">
        <v>548</v>
      </c>
      <c r="C66" s="368" t="s">
        <v>487</v>
      </c>
      <c r="D66" s="382">
        <v>0.625</v>
      </c>
      <c r="E66" s="382"/>
      <c r="F66" s="377">
        <v>0.45833333333333298</v>
      </c>
      <c r="G66" s="359">
        <v>0.33333333333333298</v>
      </c>
      <c r="H66" s="357" t="str">
        <f t="shared" si="6"/>
        <v>NÃO</v>
      </c>
      <c r="I66" s="357" t="s">
        <v>18</v>
      </c>
      <c r="J66" s="357" t="s">
        <v>18</v>
      </c>
      <c r="K66" s="357" t="s">
        <v>18</v>
      </c>
      <c r="L66" s="357" t="s">
        <v>18</v>
      </c>
      <c r="M66" s="357" t="s">
        <v>18</v>
      </c>
      <c r="N66" s="357" t="s">
        <v>18</v>
      </c>
      <c r="O66" s="357" t="s">
        <v>18</v>
      </c>
      <c r="P66" s="357" t="s">
        <v>18</v>
      </c>
      <c r="Q66" s="357" t="s">
        <v>18</v>
      </c>
      <c r="R66" s="357" t="s">
        <v>18</v>
      </c>
      <c r="S66" s="357" t="s">
        <v>18</v>
      </c>
      <c r="T66" s="357" t="s">
        <v>18</v>
      </c>
      <c r="U66" s="357" t="s">
        <v>18</v>
      </c>
      <c r="V66" s="357" t="s">
        <v>22</v>
      </c>
      <c r="W66" s="357" t="s">
        <v>18</v>
      </c>
      <c r="X66" s="357" t="s">
        <v>18</v>
      </c>
      <c r="Y66" s="357" t="s">
        <v>18</v>
      </c>
      <c r="Z66" s="357" t="str">
        <f>$I$63</f>
        <v>NÃO</v>
      </c>
      <c r="AA66" s="357" t="str">
        <f>$H$62</f>
        <v>NÃO</v>
      </c>
      <c r="AB66" s="357" t="s">
        <v>18</v>
      </c>
      <c r="AC66" s="358">
        <f t="shared" si="3"/>
        <v>1.083333333333333</v>
      </c>
      <c r="AD66" s="358">
        <f t="shared" si="4"/>
        <v>0.33333333333333298</v>
      </c>
      <c r="AE66" s="342">
        <f t="shared" si="5"/>
        <v>1</v>
      </c>
    </row>
    <row r="67" spans="1:31">
      <c r="A67" s="341" t="s">
        <v>549</v>
      </c>
      <c r="B67" s="368" t="s">
        <v>550</v>
      </c>
      <c r="C67" s="368" t="s">
        <v>487</v>
      </c>
      <c r="D67" s="358">
        <v>0.625</v>
      </c>
      <c r="E67" s="358"/>
      <c r="F67" s="360">
        <v>0.26041666666666702</v>
      </c>
      <c r="G67" s="359">
        <v>0.16666666666666699</v>
      </c>
      <c r="H67" s="357" t="str">
        <f t="shared" si="6"/>
        <v>NÃO</v>
      </c>
      <c r="I67" s="357" t="s">
        <v>18</v>
      </c>
      <c r="J67" s="357" t="s">
        <v>18</v>
      </c>
      <c r="K67" s="357" t="s">
        <v>18</v>
      </c>
      <c r="L67" s="357" t="s">
        <v>18</v>
      </c>
      <c r="M67" s="357" t="s">
        <v>18</v>
      </c>
      <c r="N67" s="357" t="s">
        <v>18</v>
      </c>
      <c r="O67" s="357" t="s">
        <v>18</v>
      </c>
      <c r="P67" s="357" t="s">
        <v>18</v>
      </c>
      <c r="Q67" s="357" t="s">
        <v>18</v>
      </c>
      <c r="R67" s="357" t="s">
        <v>18</v>
      </c>
      <c r="S67" s="357" t="s">
        <v>18</v>
      </c>
      <c r="T67" s="357" t="s">
        <v>18</v>
      </c>
      <c r="U67" s="357" t="s">
        <v>18</v>
      </c>
      <c r="V67" s="357" t="s">
        <v>22</v>
      </c>
      <c r="W67" s="357" t="s">
        <v>18</v>
      </c>
      <c r="X67" s="357" t="s">
        <v>18</v>
      </c>
      <c r="Y67" s="357" t="s">
        <v>18</v>
      </c>
      <c r="Z67" s="357" t="str">
        <f>$I$64</f>
        <v>NÃO</v>
      </c>
      <c r="AA67" s="357" t="str">
        <f>$H$63</f>
        <v>NÃO</v>
      </c>
      <c r="AB67" s="357" t="s">
        <v>18</v>
      </c>
      <c r="AC67" s="359">
        <f t="shared" ref="AC67:AC98" si="7">IF(COUNTIFS($H$1:$AB$1,"x",H67:AB67,"SIM")&gt;0,(D67+E67+F67),0)</f>
        <v>0.88541666666666696</v>
      </c>
      <c r="AD67" s="358">
        <f>IF(COUNTIFS($H$1:$AB$1,"x",H67:AB67,"SIM")&gt;0,G67,0)</f>
        <v>0.16666666666666699</v>
      </c>
      <c r="AE67" s="342">
        <f t="shared" ref="AE67:AE98" si="8">COUNTIFS(H67:AB67,"SIM")</f>
        <v>1</v>
      </c>
    </row>
    <row r="68" spans="1:31">
      <c r="A68" s="341" t="s">
        <v>551</v>
      </c>
      <c r="B68" s="368" t="s">
        <v>552</v>
      </c>
      <c r="C68" s="368" t="s">
        <v>553</v>
      </c>
      <c r="D68" s="376">
        <v>2.0833333333333301E-2</v>
      </c>
      <c r="E68" s="376"/>
      <c r="F68" s="377">
        <v>1.0416666666666701E-2</v>
      </c>
      <c r="G68" s="359">
        <v>1.0416666666666701E-2</v>
      </c>
      <c r="H68" s="357" t="str">
        <f t="shared" si="6"/>
        <v>NÃO</v>
      </c>
      <c r="I68" s="357" t="s">
        <v>18</v>
      </c>
      <c r="J68" s="357" t="s">
        <v>18</v>
      </c>
      <c r="K68" s="357" t="s">
        <v>18</v>
      </c>
      <c r="L68" s="357" t="s">
        <v>18</v>
      </c>
      <c r="M68" s="357" t="s">
        <v>18</v>
      </c>
      <c r="N68" s="357" t="s">
        <v>18</v>
      </c>
      <c r="O68" s="357" t="s">
        <v>18</v>
      </c>
      <c r="P68" s="357" t="s">
        <v>18</v>
      </c>
      <c r="Q68" s="357" t="s">
        <v>18</v>
      </c>
      <c r="R68" s="357" t="s">
        <v>18</v>
      </c>
      <c r="S68" s="357" t="s">
        <v>18</v>
      </c>
      <c r="T68" s="357" t="s">
        <v>18</v>
      </c>
      <c r="U68" s="357" t="s">
        <v>18</v>
      </c>
      <c r="V68" s="357" t="s">
        <v>22</v>
      </c>
      <c r="W68" s="357" t="s">
        <v>18</v>
      </c>
      <c r="X68" s="357" t="s">
        <v>18</v>
      </c>
      <c r="Y68" s="357" t="s">
        <v>18</v>
      </c>
      <c r="Z68" s="357" t="str">
        <f t="shared" ref="Z68:Z111" si="9">$I$63</f>
        <v>NÃO</v>
      </c>
      <c r="AA68" s="357" t="str">
        <f t="shared" ref="AA68:AA111" si="10">$H$62</f>
        <v>NÃO</v>
      </c>
      <c r="AB68" s="357" t="s">
        <v>18</v>
      </c>
      <c r="AC68" s="358">
        <f t="shared" si="7"/>
        <v>3.125E-2</v>
      </c>
      <c r="AD68" s="358">
        <f t="shared" ref="AD68:AD111" si="11">IF(COUNTIFS($H$1:$AB$1,"x",H68:AB68,"SIM")&gt;0,G68)</f>
        <v>1.0416666666666701E-2</v>
      </c>
      <c r="AE68" s="342">
        <f t="shared" si="8"/>
        <v>1</v>
      </c>
    </row>
    <row r="69" spans="1:31" ht="15" customHeight="1">
      <c r="A69" s="594" t="s">
        <v>554</v>
      </c>
      <c r="B69" s="368" t="s">
        <v>555</v>
      </c>
      <c r="C69" s="368" t="s">
        <v>553</v>
      </c>
      <c r="D69" s="649">
        <v>0.29166666666666702</v>
      </c>
      <c r="E69" s="649"/>
      <c r="F69" s="643"/>
      <c r="G69" s="597">
        <v>0.118055555555556</v>
      </c>
      <c r="H69" s="357" t="str">
        <f t="shared" si="6"/>
        <v>NÃO</v>
      </c>
      <c r="I69" s="357" t="s">
        <v>18</v>
      </c>
      <c r="J69" s="357" t="s">
        <v>18</v>
      </c>
      <c r="K69" s="357" t="s">
        <v>18</v>
      </c>
      <c r="L69" s="357" t="s">
        <v>22</v>
      </c>
      <c r="M69" s="357" t="s">
        <v>18</v>
      </c>
      <c r="N69" s="357" t="s">
        <v>18</v>
      </c>
      <c r="O69" s="357" t="s">
        <v>18</v>
      </c>
      <c r="P69" s="357" t="s">
        <v>18</v>
      </c>
      <c r="Q69" s="357" t="s">
        <v>18</v>
      </c>
      <c r="R69" s="357" t="s">
        <v>18</v>
      </c>
      <c r="S69" s="357" t="s">
        <v>18</v>
      </c>
      <c r="T69" s="357" t="s">
        <v>18</v>
      </c>
      <c r="U69" s="357" t="s">
        <v>18</v>
      </c>
      <c r="V69" s="357" t="s">
        <v>22</v>
      </c>
      <c r="W69" s="357" t="s">
        <v>18</v>
      </c>
      <c r="X69" s="357" t="s">
        <v>18</v>
      </c>
      <c r="Y69" s="357" t="s">
        <v>18</v>
      </c>
      <c r="Z69" s="357" t="str">
        <f t="shared" si="9"/>
        <v>NÃO</v>
      </c>
      <c r="AA69" s="357" t="str">
        <f t="shared" si="10"/>
        <v>NÃO</v>
      </c>
      <c r="AB69" s="357" t="s">
        <v>18</v>
      </c>
      <c r="AC69" s="358">
        <f t="shared" si="7"/>
        <v>0.29166666666666702</v>
      </c>
      <c r="AD69" s="358">
        <f t="shared" si="11"/>
        <v>0.118055555555556</v>
      </c>
      <c r="AE69" s="342">
        <f t="shared" si="8"/>
        <v>2</v>
      </c>
    </row>
    <row r="70" spans="1:31">
      <c r="A70" s="594"/>
      <c r="B70" s="368" t="s">
        <v>556</v>
      </c>
      <c r="C70" s="368" t="s">
        <v>553</v>
      </c>
      <c r="D70" s="649"/>
      <c r="E70" s="649"/>
      <c r="F70" s="649"/>
      <c r="G70" s="597"/>
      <c r="H70" s="357" t="str">
        <f t="shared" si="6"/>
        <v>NÃO</v>
      </c>
      <c r="I70" s="357" t="s">
        <v>18</v>
      </c>
      <c r="J70" s="357" t="s">
        <v>18</v>
      </c>
      <c r="K70" s="357" t="s">
        <v>18</v>
      </c>
      <c r="L70" s="357" t="s">
        <v>22</v>
      </c>
      <c r="M70" s="357" t="s">
        <v>18</v>
      </c>
      <c r="N70" s="357" t="s">
        <v>18</v>
      </c>
      <c r="O70" s="357" t="s">
        <v>18</v>
      </c>
      <c r="P70" s="357" t="s">
        <v>18</v>
      </c>
      <c r="Q70" s="357" t="s">
        <v>18</v>
      </c>
      <c r="R70" s="357" t="s">
        <v>18</v>
      </c>
      <c r="S70" s="357" t="s">
        <v>18</v>
      </c>
      <c r="T70" s="357" t="s">
        <v>18</v>
      </c>
      <c r="U70" s="357" t="s">
        <v>18</v>
      </c>
      <c r="V70" s="357" t="s">
        <v>22</v>
      </c>
      <c r="W70" s="357" t="s">
        <v>18</v>
      </c>
      <c r="X70" s="357" t="s">
        <v>18</v>
      </c>
      <c r="Y70" s="357" t="s">
        <v>18</v>
      </c>
      <c r="Z70" s="357" t="str">
        <f t="shared" si="9"/>
        <v>NÃO</v>
      </c>
      <c r="AA70" s="357" t="str">
        <f t="shared" si="10"/>
        <v>NÃO</v>
      </c>
      <c r="AB70" s="357" t="s">
        <v>18</v>
      </c>
      <c r="AC70" s="358">
        <f t="shared" si="7"/>
        <v>0</v>
      </c>
      <c r="AD70" s="358">
        <f t="shared" si="11"/>
        <v>0</v>
      </c>
      <c r="AE70" s="342">
        <f t="shared" si="8"/>
        <v>2</v>
      </c>
    </row>
    <row r="71" spans="1:31">
      <c r="A71" s="594"/>
      <c r="B71" s="368" t="s">
        <v>557</v>
      </c>
      <c r="C71" s="368" t="s">
        <v>553</v>
      </c>
      <c r="D71" s="649"/>
      <c r="E71" s="649"/>
      <c r="F71" s="649"/>
      <c r="G71" s="597"/>
      <c r="H71" s="357" t="str">
        <f t="shared" si="6"/>
        <v>NÃO</v>
      </c>
      <c r="I71" s="357" t="s">
        <v>18</v>
      </c>
      <c r="J71" s="357" t="s">
        <v>18</v>
      </c>
      <c r="K71" s="357" t="s">
        <v>18</v>
      </c>
      <c r="L71" s="357" t="s">
        <v>22</v>
      </c>
      <c r="M71" s="357" t="s">
        <v>18</v>
      </c>
      <c r="N71" s="357" t="s">
        <v>18</v>
      </c>
      <c r="O71" s="357" t="s">
        <v>18</v>
      </c>
      <c r="P71" s="357" t="s">
        <v>18</v>
      </c>
      <c r="Q71" s="357" t="s">
        <v>18</v>
      </c>
      <c r="R71" s="357" t="s">
        <v>18</v>
      </c>
      <c r="S71" s="357" t="s">
        <v>18</v>
      </c>
      <c r="T71" s="357" t="s">
        <v>18</v>
      </c>
      <c r="U71" s="357" t="s">
        <v>18</v>
      </c>
      <c r="V71" s="357" t="s">
        <v>22</v>
      </c>
      <c r="W71" s="357" t="s">
        <v>18</v>
      </c>
      <c r="X71" s="357" t="s">
        <v>18</v>
      </c>
      <c r="Y71" s="357" t="s">
        <v>18</v>
      </c>
      <c r="Z71" s="357" t="str">
        <f t="shared" si="9"/>
        <v>NÃO</v>
      </c>
      <c r="AA71" s="357" t="str">
        <f t="shared" si="10"/>
        <v>NÃO</v>
      </c>
      <c r="AB71" s="357" t="s">
        <v>18</v>
      </c>
      <c r="AC71" s="358">
        <f t="shared" si="7"/>
        <v>0</v>
      </c>
      <c r="AD71" s="358">
        <f t="shared" si="11"/>
        <v>0</v>
      </c>
      <c r="AE71" s="342">
        <f t="shared" si="8"/>
        <v>2</v>
      </c>
    </row>
    <row r="72" spans="1:31">
      <c r="A72" s="594"/>
      <c r="B72" s="368" t="s">
        <v>558</v>
      </c>
      <c r="C72" s="368" t="s">
        <v>553</v>
      </c>
      <c r="D72" s="649"/>
      <c r="E72" s="649"/>
      <c r="F72" s="649"/>
      <c r="G72" s="597"/>
      <c r="H72" s="357" t="str">
        <f t="shared" si="6"/>
        <v>NÃO</v>
      </c>
      <c r="I72" s="357" t="s">
        <v>18</v>
      </c>
      <c r="J72" s="357" t="s">
        <v>18</v>
      </c>
      <c r="K72" s="357" t="s">
        <v>18</v>
      </c>
      <c r="L72" s="357" t="s">
        <v>22</v>
      </c>
      <c r="M72" s="357" t="s">
        <v>18</v>
      </c>
      <c r="N72" s="357" t="s">
        <v>18</v>
      </c>
      <c r="O72" s="357" t="s">
        <v>18</v>
      </c>
      <c r="P72" s="357" t="s">
        <v>18</v>
      </c>
      <c r="Q72" s="357" t="s">
        <v>18</v>
      </c>
      <c r="R72" s="357" t="s">
        <v>18</v>
      </c>
      <c r="S72" s="357" t="s">
        <v>18</v>
      </c>
      <c r="T72" s="357" t="s">
        <v>18</v>
      </c>
      <c r="U72" s="357" t="s">
        <v>18</v>
      </c>
      <c r="V72" s="357" t="s">
        <v>22</v>
      </c>
      <c r="W72" s="357" t="s">
        <v>18</v>
      </c>
      <c r="X72" s="357" t="s">
        <v>18</v>
      </c>
      <c r="Y72" s="357" t="s">
        <v>18</v>
      </c>
      <c r="Z72" s="357" t="str">
        <f t="shared" si="9"/>
        <v>NÃO</v>
      </c>
      <c r="AA72" s="357" t="str">
        <f t="shared" si="10"/>
        <v>NÃO</v>
      </c>
      <c r="AB72" s="357" t="s">
        <v>18</v>
      </c>
      <c r="AC72" s="358">
        <f t="shared" si="7"/>
        <v>0</v>
      </c>
      <c r="AD72" s="358">
        <f t="shared" si="11"/>
        <v>0</v>
      </c>
      <c r="AE72" s="342">
        <f t="shared" si="8"/>
        <v>2</v>
      </c>
    </row>
    <row r="73" spans="1:31">
      <c r="A73" s="594"/>
      <c r="B73" s="368" t="s">
        <v>559</v>
      </c>
      <c r="C73" s="368" t="s">
        <v>553</v>
      </c>
      <c r="D73" s="649"/>
      <c r="E73" s="649"/>
      <c r="F73" s="649"/>
      <c r="G73" s="597"/>
      <c r="H73" s="357" t="str">
        <f t="shared" si="6"/>
        <v>NÃO</v>
      </c>
      <c r="I73" s="357" t="s">
        <v>18</v>
      </c>
      <c r="J73" s="357" t="s">
        <v>18</v>
      </c>
      <c r="K73" s="357" t="s">
        <v>18</v>
      </c>
      <c r="L73" s="357" t="s">
        <v>22</v>
      </c>
      <c r="M73" s="357" t="s">
        <v>18</v>
      </c>
      <c r="N73" s="357" t="s">
        <v>18</v>
      </c>
      <c r="O73" s="357" t="s">
        <v>18</v>
      </c>
      <c r="P73" s="357" t="s">
        <v>18</v>
      </c>
      <c r="Q73" s="357" t="s">
        <v>18</v>
      </c>
      <c r="R73" s="357" t="s">
        <v>18</v>
      </c>
      <c r="S73" s="357" t="s">
        <v>18</v>
      </c>
      <c r="T73" s="357" t="s">
        <v>18</v>
      </c>
      <c r="U73" s="357" t="s">
        <v>18</v>
      </c>
      <c r="V73" s="357" t="s">
        <v>22</v>
      </c>
      <c r="W73" s="357" t="s">
        <v>18</v>
      </c>
      <c r="X73" s="357" t="s">
        <v>18</v>
      </c>
      <c r="Y73" s="357" t="s">
        <v>18</v>
      </c>
      <c r="Z73" s="357" t="str">
        <f t="shared" si="9"/>
        <v>NÃO</v>
      </c>
      <c r="AA73" s="357" t="str">
        <f t="shared" si="10"/>
        <v>NÃO</v>
      </c>
      <c r="AB73" s="357" t="s">
        <v>18</v>
      </c>
      <c r="AC73" s="358">
        <f t="shared" si="7"/>
        <v>0</v>
      </c>
      <c r="AD73" s="358">
        <f t="shared" si="11"/>
        <v>0</v>
      </c>
      <c r="AE73" s="342">
        <f t="shared" si="8"/>
        <v>2</v>
      </c>
    </row>
    <row r="74" spans="1:31">
      <c r="A74" s="594"/>
      <c r="B74" s="368" t="s">
        <v>560</v>
      </c>
      <c r="C74" s="368" t="s">
        <v>553</v>
      </c>
      <c r="D74" s="649"/>
      <c r="E74" s="649"/>
      <c r="F74" s="649"/>
      <c r="G74" s="597"/>
      <c r="H74" s="357" t="str">
        <f t="shared" si="6"/>
        <v>NÃO</v>
      </c>
      <c r="I74" s="357" t="s">
        <v>18</v>
      </c>
      <c r="J74" s="357" t="s">
        <v>18</v>
      </c>
      <c r="K74" s="357" t="s">
        <v>18</v>
      </c>
      <c r="L74" s="357" t="s">
        <v>22</v>
      </c>
      <c r="M74" s="357" t="s">
        <v>18</v>
      </c>
      <c r="N74" s="357" t="s">
        <v>18</v>
      </c>
      <c r="O74" s="357" t="s">
        <v>18</v>
      </c>
      <c r="P74" s="357" t="s">
        <v>18</v>
      </c>
      <c r="Q74" s="357" t="s">
        <v>18</v>
      </c>
      <c r="R74" s="357" t="s">
        <v>18</v>
      </c>
      <c r="S74" s="357" t="s">
        <v>18</v>
      </c>
      <c r="T74" s="357" t="s">
        <v>18</v>
      </c>
      <c r="U74" s="357" t="s">
        <v>18</v>
      </c>
      <c r="V74" s="357" t="s">
        <v>22</v>
      </c>
      <c r="W74" s="357" t="s">
        <v>18</v>
      </c>
      <c r="X74" s="357" t="s">
        <v>18</v>
      </c>
      <c r="Y74" s="357" t="s">
        <v>18</v>
      </c>
      <c r="Z74" s="357" t="str">
        <f t="shared" si="9"/>
        <v>NÃO</v>
      </c>
      <c r="AA74" s="357" t="str">
        <f t="shared" si="10"/>
        <v>NÃO</v>
      </c>
      <c r="AB74" s="357" t="s">
        <v>18</v>
      </c>
      <c r="AC74" s="358">
        <f t="shared" si="7"/>
        <v>0</v>
      </c>
      <c r="AD74" s="358">
        <f t="shared" si="11"/>
        <v>0</v>
      </c>
      <c r="AE74" s="342">
        <f t="shared" si="8"/>
        <v>2</v>
      </c>
    </row>
    <row r="75" spans="1:31">
      <c r="A75" s="594"/>
      <c r="B75" s="366" t="s">
        <v>561</v>
      </c>
      <c r="C75" s="368" t="s">
        <v>553</v>
      </c>
      <c r="D75" s="649"/>
      <c r="E75" s="649"/>
      <c r="F75" s="643"/>
      <c r="G75" s="597"/>
      <c r="H75" s="357" t="str">
        <f t="shared" si="6"/>
        <v>NÃO</v>
      </c>
      <c r="I75" s="357" t="s">
        <v>18</v>
      </c>
      <c r="J75" s="357" t="s">
        <v>18</v>
      </c>
      <c r="K75" s="357" t="s">
        <v>18</v>
      </c>
      <c r="L75" s="357" t="s">
        <v>22</v>
      </c>
      <c r="M75" s="357" t="s">
        <v>18</v>
      </c>
      <c r="N75" s="357" t="s">
        <v>18</v>
      </c>
      <c r="O75" s="357" t="s">
        <v>18</v>
      </c>
      <c r="P75" s="357" t="s">
        <v>18</v>
      </c>
      <c r="Q75" s="357" t="s">
        <v>18</v>
      </c>
      <c r="R75" s="357" t="s">
        <v>18</v>
      </c>
      <c r="S75" s="357" t="s">
        <v>18</v>
      </c>
      <c r="T75" s="357" t="s">
        <v>18</v>
      </c>
      <c r="U75" s="357" t="s">
        <v>18</v>
      </c>
      <c r="V75" s="357" t="s">
        <v>22</v>
      </c>
      <c r="W75" s="357" t="s">
        <v>18</v>
      </c>
      <c r="X75" s="357" t="s">
        <v>18</v>
      </c>
      <c r="Y75" s="357" t="s">
        <v>18</v>
      </c>
      <c r="Z75" s="357" t="str">
        <f t="shared" si="9"/>
        <v>NÃO</v>
      </c>
      <c r="AA75" s="357" t="str">
        <f t="shared" si="10"/>
        <v>NÃO</v>
      </c>
      <c r="AB75" s="357" t="s">
        <v>18</v>
      </c>
      <c r="AC75" s="358">
        <f t="shared" si="7"/>
        <v>0</v>
      </c>
      <c r="AD75" s="358">
        <f t="shared" si="11"/>
        <v>0</v>
      </c>
      <c r="AE75" s="342">
        <f t="shared" si="8"/>
        <v>2</v>
      </c>
    </row>
    <row r="76" spans="1:31">
      <c r="B76" s="367" t="s">
        <v>562</v>
      </c>
      <c r="C76" s="368" t="s">
        <v>553</v>
      </c>
      <c r="D76" s="377"/>
      <c r="E76" s="377"/>
      <c r="F76" s="377"/>
      <c r="G76" s="377">
        <v>0</v>
      </c>
      <c r="H76" s="357" t="str">
        <f t="shared" ref="H76:H111" si="12">$H$41</f>
        <v>NÃO</v>
      </c>
      <c r="I76" s="357" t="s">
        <v>18</v>
      </c>
      <c r="J76" s="357" t="s">
        <v>18</v>
      </c>
      <c r="K76" s="357" t="s">
        <v>18</v>
      </c>
      <c r="L76" s="357" t="s">
        <v>22</v>
      </c>
      <c r="M76" s="357" t="s">
        <v>18</v>
      </c>
      <c r="N76" s="357" t="s">
        <v>18</v>
      </c>
      <c r="O76" s="357" t="s">
        <v>18</v>
      </c>
      <c r="P76" s="357" t="s">
        <v>18</v>
      </c>
      <c r="Q76" s="357" t="s">
        <v>18</v>
      </c>
      <c r="R76" s="357" t="s">
        <v>18</v>
      </c>
      <c r="S76" s="357" t="s">
        <v>18</v>
      </c>
      <c r="T76" s="357" t="s">
        <v>18</v>
      </c>
      <c r="U76" s="357" t="s">
        <v>18</v>
      </c>
      <c r="V76" s="357" t="s">
        <v>22</v>
      </c>
      <c r="W76" s="357" t="s">
        <v>18</v>
      </c>
      <c r="X76" s="357" t="s">
        <v>18</v>
      </c>
      <c r="Y76" s="357" t="s">
        <v>18</v>
      </c>
      <c r="Z76" s="357" t="str">
        <f t="shared" si="9"/>
        <v>NÃO</v>
      </c>
      <c r="AA76" s="357" t="str">
        <f t="shared" si="10"/>
        <v>NÃO</v>
      </c>
      <c r="AB76" s="357" t="s">
        <v>18</v>
      </c>
      <c r="AC76" s="358">
        <f t="shared" si="7"/>
        <v>0</v>
      </c>
      <c r="AD76" s="358">
        <f t="shared" si="11"/>
        <v>0</v>
      </c>
      <c r="AE76" s="342">
        <f t="shared" si="8"/>
        <v>2</v>
      </c>
    </row>
    <row r="77" spans="1:31">
      <c r="A77" s="341" t="s">
        <v>563</v>
      </c>
      <c r="B77" s="368" t="s">
        <v>564</v>
      </c>
      <c r="C77" s="368" t="s">
        <v>553</v>
      </c>
      <c r="D77" s="376"/>
      <c r="E77" s="376"/>
      <c r="F77" s="377"/>
      <c r="G77" s="359">
        <v>1.7361111111111101E-2</v>
      </c>
      <c r="H77" s="357" t="str">
        <f t="shared" si="12"/>
        <v>NÃO</v>
      </c>
      <c r="I77" s="357" t="s">
        <v>18</v>
      </c>
      <c r="J77" s="357" t="s">
        <v>18</v>
      </c>
      <c r="K77" s="357" t="s">
        <v>18</v>
      </c>
      <c r="L77" s="357" t="s">
        <v>22</v>
      </c>
      <c r="M77" s="357" t="s">
        <v>18</v>
      </c>
      <c r="N77" s="357" t="s">
        <v>18</v>
      </c>
      <c r="O77" s="357" t="s">
        <v>18</v>
      </c>
      <c r="P77" s="357" t="s">
        <v>18</v>
      </c>
      <c r="Q77" s="357" t="s">
        <v>18</v>
      </c>
      <c r="R77" s="357" t="s">
        <v>18</v>
      </c>
      <c r="S77" s="357" t="s">
        <v>18</v>
      </c>
      <c r="T77" s="357" t="s">
        <v>18</v>
      </c>
      <c r="U77" s="357" t="s">
        <v>18</v>
      </c>
      <c r="V77" s="357" t="s">
        <v>22</v>
      </c>
      <c r="W77" s="357" t="s">
        <v>18</v>
      </c>
      <c r="X77" s="357" t="s">
        <v>18</v>
      </c>
      <c r="Y77" s="357" t="s">
        <v>18</v>
      </c>
      <c r="Z77" s="357" t="str">
        <f t="shared" si="9"/>
        <v>NÃO</v>
      </c>
      <c r="AA77" s="357" t="str">
        <f t="shared" si="10"/>
        <v>NÃO</v>
      </c>
      <c r="AB77" s="357" t="s">
        <v>18</v>
      </c>
      <c r="AC77" s="358">
        <f t="shared" si="7"/>
        <v>0</v>
      </c>
      <c r="AD77" s="358">
        <f t="shared" si="11"/>
        <v>1.7361111111111101E-2</v>
      </c>
      <c r="AE77" s="342">
        <f t="shared" si="8"/>
        <v>2</v>
      </c>
    </row>
    <row r="78" spans="1:31">
      <c r="A78" s="341" t="s">
        <v>565</v>
      </c>
      <c r="B78" s="368" t="s">
        <v>566</v>
      </c>
      <c r="C78" s="368" t="s">
        <v>553</v>
      </c>
      <c r="D78" s="376"/>
      <c r="E78" s="376"/>
      <c r="F78" s="377"/>
      <c r="G78" s="359">
        <v>1.38888888888889E-2</v>
      </c>
      <c r="H78" s="357" t="str">
        <f t="shared" si="12"/>
        <v>NÃO</v>
      </c>
      <c r="I78" s="357" t="s">
        <v>18</v>
      </c>
      <c r="J78" s="357" t="s">
        <v>18</v>
      </c>
      <c r="K78" s="357" t="s">
        <v>18</v>
      </c>
      <c r="L78" s="357" t="s">
        <v>22</v>
      </c>
      <c r="M78" s="357" t="s">
        <v>18</v>
      </c>
      <c r="N78" s="357" t="s">
        <v>18</v>
      </c>
      <c r="O78" s="357" t="s">
        <v>18</v>
      </c>
      <c r="P78" s="357" t="s">
        <v>18</v>
      </c>
      <c r="Q78" s="357" t="s">
        <v>18</v>
      </c>
      <c r="R78" s="357" t="s">
        <v>18</v>
      </c>
      <c r="S78" s="357" t="s">
        <v>18</v>
      </c>
      <c r="T78" s="357" t="s">
        <v>18</v>
      </c>
      <c r="U78" s="357" t="s">
        <v>18</v>
      </c>
      <c r="V78" s="357" t="s">
        <v>22</v>
      </c>
      <c r="W78" s="357" t="s">
        <v>18</v>
      </c>
      <c r="X78" s="357" t="s">
        <v>18</v>
      </c>
      <c r="Y78" s="357" t="s">
        <v>18</v>
      </c>
      <c r="Z78" s="357" t="str">
        <f t="shared" si="9"/>
        <v>NÃO</v>
      </c>
      <c r="AA78" s="357" t="str">
        <f t="shared" si="10"/>
        <v>NÃO</v>
      </c>
      <c r="AB78" s="357" t="s">
        <v>18</v>
      </c>
      <c r="AC78" s="358">
        <f t="shared" si="7"/>
        <v>0</v>
      </c>
      <c r="AD78" s="358">
        <f t="shared" si="11"/>
        <v>1.38888888888889E-2</v>
      </c>
      <c r="AE78" s="342">
        <f t="shared" si="8"/>
        <v>2</v>
      </c>
    </row>
    <row r="79" spans="1:31">
      <c r="A79" s="341" t="s">
        <v>567</v>
      </c>
      <c r="B79" s="368" t="s">
        <v>568</v>
      </c>
      <c r="C79" s="368" t="s">
        <v>553</v>
      </c>
      <c r="D79" s="376"/>
      <c r="E79" s="376"/>
      <c r="F79" s="377"/>
      <c r="G79" s="359">
        <v>1.38888888888889E-2</v>
      </c>
      <c r="H79" s="357" t="str">
        <f t="shared" si="12"/>
        <v>NÃO</v>
      </c>
      <c r="I79" s="357" t="s">
        <v>18</v>
      </c>
      <c r="J79" s="357" t="s">
        <v>18</v>
      </c>
      <c r="K79" s="357" t="s">
        <v>18</v>
      </c>
      <c r="L79" s="357" t="s">
        <v>22</v>
      </c>
      <c r="M79" s="357" t="s">
        <v>18</v>
      </c>
      <c r="N79" s="357" t="s">
        <v>18</v>
      </c>
      <c r="O79" s="357" t="s">
        <v>18</v>
      </c>
      <c r="P79" s="357" t="s">
        <v>18</v>
      </c>
      <c r="Q79" s="357" t="s">
        <v>18</v>
      </c>
      <c r="R79" s="357" t="s">
        <v>18</v>
      </c>
      <c r="S79" s="357" t="s">
        <v>18</v>
      </c>
      <c r="T79" s="357" t="s">
        <v>18</v>
      </c>
      <c r="U79" s="357" t="s">
        <v>18</v>
      </c>
      <c r="V79" s="357" t="s">
        <v>22</v>
      </c>
      <c r="W79" s="357" t="s">
        <v>18</v>
      </c>
      <c r="X79" s="357" t="s">
        <v>18</v>
      </c>
      <c r="Y79" s="357" t="s">
        <v>18</v>
      </c>
      <c r="Z79" s="357" t="str">
        <f t="shared" si="9"/>
        <v>NÃO</v>
      </c>
      <c r="AA79" s="357" t="str">
        <f t="shared" si="10"/>
        <v>NÃO</v>
      </c>
      <c r="AB79" s="357" t="s">
        <v>18</v>
      </c>
      <c r="AC79" s="358">
        <f t="shared" si="7"/>
        <v>0</v>
      </c>
      <c r="AD79" s="358">
        <f t="shared" si="11"/>
        <v>1.38888888888889E-2</v>
      </c>
      <c r="AE79" s="342">
        <f t="shared" si="8"/>
        <v>2</v>
      </c>
    </row>
    <row r="80" spans="1:31">
      <c r="A80" s="341" t="s">
        <v>569</v>
      </c>
      <c r="B80" s="368" t="s">
        <v>570</v>
      </c>
      <c r="C80" s="368" t="s">
        <v>553</v>
      </c>
      <c r="D80" s="376"/>
      <c r="E80" s="376"/>
      <c r="F80" s="377"/>
      <c r="G80" s="359">
        <v>1.38888888888889E-2</v>
      </c>
      <c r="H80" s="357" t="str">
        <f t="shared" si="12"/>
        <v>NÃO</v>
      </c>
      <c r="I80" s="357" t="s">
        <v>18</v>
      </c>
      <c r="J80" s="357" t="s">
        <v>18</v>
      </c>
      <c r="K80" s="357" t="s">
        <v>18</v>
      </c>
      <c r="L80" s="357" t="s">
        <v>22</v>
      </c>
      <c r="M80" s="357" t="s">
        <v>18</v>
      </c>
      <c r="N80" s="357" t="s">
        <v>18</v>
      </c>
      <c r="O80" s="357" t="s">
        <v>18</v>
      </c>
      <c r="P80" s="357" t="s">
        <v>18</v>
      </c>
      <c r="Q80" s="357" t="s">
        <v>18</v>
      </c>
      <c r="R80" s="357" t="s">
        <v>18</v>
      </c>
      <c r="S80" s="357" t="s">
        <v>18</v>
      </c>
      <c r="T80" s="357" t="s">
        <v>18</v>
      </c>
      <c r="U80" s="357" t="s">
        <v>18</v>
      </c>
      <c r="V80" s="357" t="s">
        <v>22</v>
      </c>
      <c r="W80" s="357" t="s">
        <v>18</v>
      </c>
      <c r="X80" s="357" t="s">
        <v>18</v>
      </c>
      <c r="Y80" s="357" t="s">
        <v>18</v>
      </c>
      <c r="Z80" s="357" t="str">
        <f t="shared" si="9"/>
        <v>NÃO</v>
      </c>
      <c r="AA80" s="357" t="str">
        <f t="shared" si="10"/>
        <v>NÃO</v>
      </c>
      <c r="AB80" s="357" t="s">
        <v>18</v>
      </c>
      <c r="AC80" s="358">
        <f t="shared" si="7"/>
        <v>0</v>
      </c>
      <c r="AD80" s="358">
        <f t="shared" si="11"/>
        <v>1.38888888888889E-2</v>
      </c>
      <c r="AE80" s="342">
        <f t="shared" si="8"/>
        <v>2</v>
      </c>
    </row>
    <row r="81" spans="1:31">
      <c r="A81" s="341" t="s">
        <v>571</v>
      </c>
      <c r="B81" s="368" t="s">
        <v>572</v>
      </c>
      <c r="C81" s="368" t="s">
        <v>553</v>
      </c>
      <c r="D81" s="376"/>
      <c r="E81" s="376"/>
      <c r="F81" s="377"/>
      <c r="G81" s="359">
        <v>1.38888888888889E-2</v>
      </c>
      <c r="H81" s="357" t="str">
        <f t="shared" si="12"/>
        <v>NÃO</v>
      </c>
      <c r="I81" s="357" t="s">
        <v>18</v>
      </c>
      <c r="J81" s="357" t="s">
        <v>18</v>
      </c>
      <c r="K81" s="357" t="s">
        <v>18</v>
      </c>
      <c r="L81" s="357" t="str">
        <f t="shared" ref="L81:L111" si="13">$H$62</f>
        <v>NÃO</v>
      </c>
      <c r="M81" s="357" t="s">
        <v>18</v>
      </c>
      <c r="N81" s="357" t="s">
        <v>18</v>
      </c>
      <c r="O81" s="357" t="s">
        <v>18</v>
      </c>
      <c r="P81" s="357" t="s">
        <v>18</v>
      </c>
      <c r="Q81" s="357" t="s">
        <v>18</v>
      </c>
      <c r="R81" s="357" t="s">
        <v>18</v>
      </c>
      <c r="S81" s="357" t="s">
        <v>18</v>
      </c>
      <c r="T81" s="357" t="s">
        <v>18</v>
      </c>
      <c r="U81" s="357" t="s">
        <v>18</v>
      </c>
      <c r="V81" s="357" t="s">
        <v>22</v>
      </c>
      <c r="W81" s="357" t="s">
        <v>18</v>
      </c>
      <c r="X81" s="357" t="s">
        <v>18</v>
      </c>
      <c r="Y81" s="357" t="s">
        <v>18</v>
      </c>
      <c r="Z81" s="357" t="str">
        <f t="shared" si="9"/>
        <v>NÃO</v>
      </c>
      <c r="AA81" s="357" t="str">
        <f t="shared" si="10"/>
        <v>NÃO</v>
      </c>
      <c r="AB81" s="357" t="s">
        <v>18</v>
      </c>
      <c r="AC81" s="358">
        <f t="shared" si="7"/>
        <v>0</v>
      </c>
      <c r="AD81" s="358">
        <f t="shared" si="11"/>
        <v>1.38888888888889E-2</v>
      </c>
      <c r="AE81" s="342">
        <f t="shared" si="8"/>
        <v>1</v>
      </c>
    </row>
    <row r="82" spans="1:31">
      <c r="A82" s="341" t="s">
        <v>573</v>
      </c>
      <c r="B82" s="368" t="s">
        <v>574</v>
      </c>
      <c r="C82" s="368" t="s">
        <v>553</v>
      </c>
      <c r="D82" s="376"/>
      <c r="E82" s="376"/>
      <c r="F82" s="377"/>
      <c r="G82" s="359">
        <v>1.38888888888889E-2</v>
      </c>
      <c r="H82" s="357" t="str">
        <f t="shared" si="12"/>
        <v>NÃO</v>
      </c>
      <c r="I82" s="357" t="s">
        <v>18</v>
      </c>
      <c r="J82" s="357" t="s">
        <v>18</v>
      </c>
      <c r="K82" s="357" t="s">
        <v>18</v>
      </c>
      <c r="L82" s="357" t="str">
        <f t="shared" si="13"/>
        <v>NÃO</v>
      </c>
      <c r="M82" s="357" t="s">
        <v>18</v>
      </c>
      <c r="N82" s="357" t="s">
        <v>18</v>
      </c>
      <c r="O82" s="357" t="s">
        <v>18</v>
      </c>
      <c r="P82" s="357" t="s">
        <v>18</v>
      </c>
      <c r="Q82" s="357" t="s">
        <v>18</v>
      </c>
      <c r="R82" s="357" t="s">
        <v>18</v>
      </c>
      <c r="S82" s="357" t="s">
        <v>18</v>
      </c>
      <c r="T82" s="357" t="s">
        <v>18</v>
      </c>
      <c r="U82" s="357" t="s">
        <v>18</v>
      </c>
      <c r="V82" s="357" t="s">
        <v>22</v>
      </c>
      <c r="W82" s="357" t="s">
        <v>18</v>
      </c>
      <c r="X82" s="357" t="s">
        <v>18</v>
      </c>
      <c r="Y82" s="357" t="s">
        <v>18</v>
      </c>
      <c r="Z82" s="357" t="str">
        <f t="shared" si="9"/>
        <v>NÃO</v>
      </c>
      <c r="AA82" s="357" t="str">
        <f t="shared" si="10"/>
        <v>NÃO</v>
      </c>
      <c r="AB82" s="357" t="s">
        <v>18</v>
      </c>
      <c r="AC82" s="358">
        <f t="shared" si="7"/>
        <v>0</v>
      </c>
      <c r="AD82" s="358">
        <f t="shared" si="11"/>
        <v>1.38888888888889E-2</v>
      </c>
      <c r="AE82" s="342">
        <f t="shared" si="8"/>
        <v>1</v>
      </c>
    </row>
    <row r="83" spans="1:31">
      <c r="A83" s="341" t="s">
        <v>575</v>
      </c>
      <c r="B83" s="368" t="s">
        <v>576</v>
      </c>
      <c r="C83" s="368" t="s">
        <v>553</v>
      </c>
      <c r="D83" s="376"/>
      <c r="E83" s="376"/>
      <c r="F83" s="377"/>
      <c r="G83" s="359">
        <v>1.38888888888889E-2</v>
      </c>
      <c r="H83" s="357" t="str">
        <f t="shared" si="12"/>
        <v>NÃO</v>
      </c>
      <c r="I83" s="357" t="s">
        <v>18</v>
      </c>
      <c r="J83" s="357" t="s">
        <v>18</v>
      </c>
      <c r="K83" s="357" t="s">
        <v>18</v>
      </c>
      <c r="L83" s="357" t="str">
        <f t="shared" si="13"/>
        <v>NÃO</v>
      </c>
      <c r="M83" s="357" t="s">
        <v>18</v>
      </c>
      <c r="N83" s="357" t="s">
        <v>18</v>
      </c>
      <c r="O83" s="357" t="s">
        <v>18</v>
      </c>
      <c r="P83" s="357" t="s">
        <v>18</v>
      </c>
      <c r="Q83" s="357" t="s">
        <v>18</v>
      </c>
      <c r="R83" s="357" t="s">
        <v>18</v>
      </c>
      <c r="S83" s="357" t="s">
        <v>18</v>
      </c>
      <c r="T83" s="357" t="s">
        <v>18</v>
      </c>
      <c r="U83" s="357" t="s">
        <v>18</v>
      </c>
      <c r="V83" s="357" t="s">
        <v>22</v>
      </c>
      <c r="W83" s="357" t="s">
        <v>18</v>
      </c>
      <c r="X83" s="357" t="s">
        <v>18</v>
      </c>
      <c r="Y83" s="357" t="s">
        <v>18</v>
      </c>
      <c r="Z83" s="357" t="str">
        <f t="shared" si="9"/>
        <v>NÃO</v>
      </c>
      <c r="AA83" s="357" t="str">
        <f t="shared" si="10"/>
        <v>NÃO</v>
      </c>
      <c r="AB83" s="357" t="s">
        <v>18</v>
      </c>
      <c r="AC83" s="358">
        <f t="shared" si="7"/>
        <v>0</v>
      </c>
      <c r="AD83" s="358">
        <f t="shared" si="11"/>
        <v>1.38888888888889E-2</v>
      </c>
      <c r="AE83" s="342">
        <f t="shared" si="8"/>
        <v>1</v>
      </c>
    </row>
    <row r="84" spans="1:31">
      <c r="B84" s="367" t="s">
        <v>577</v>
      </c>
      <c r="C84" s="368" t="s">
        <v>553</v>
      </c>
      <c r="D84" s="381" t="s">
        <v>607</v>
      </c>
      <c r="E84" s="380" t="s">
        <v>607</v>
      </c>
      <c r="F84" s="380" t="s">
        <v>607</v>
      </c>
      <c r="G84" s="359"/>
      <c r="H84" s="357" t="str">
        <f t="shared" si="12"/>
        <v>NÃO</v>
      </c>
      <c r="I84" s="357" t="s">
        <v>18</v>
      </c>
      <c r="J84" s="357" t="s">
        <v>18</v>
      </c>
      <c r="K84" s="357" t="s">
        <v>18</v>
      </c>
      <c r="L84" s="357" t="str">
        <f t="shared" si="13"/>
        <v>NÃO</v>
      </c>
      <c r="M84" s="357" t="s">
        <v>18</v>
      </c>
      <c r="N84" s="357" t="s">
        <v>18</v>
      </c>
      <c r="O84" s="357" t="s">
        <v>18</v>
      </c>
      <c r="P84" s="357" t="s">
        <v>18</v>
      </c>
      <c r="Q84" s="357" t="s">
        <v>18</v>
      </c>
      <c r="R84" s="357" t="s">
        <v>18</v>
      </c>
      <c r="S84" s="357" t="s">
        <v>18</v>
      </c>
      <c r="T84" s="357" t="s">
        <v>18</v>
      </c>
      <c r="U84" s="357" t="s">
        <v>18</v>
      </c>
      <c r="V84" s="357" t="s">
        <v>18</v>
      </c>
      <c r="W84" s="357" t="s">
        <v>18</v>
      </c>
      <c r="X84" s="357" t="s">
        <v>18</v>
      </c>
      <c r="Y84" s="357" t="s">
        <v>18</v>
      </c>
      <c r="Z84" s="357" t="str">
        <f t="shared" si="9"/>
        <v>NÃO</v>
      </c>
      <c r="AA84" s="357" t="str">
        <f t="shared" si="10"/>
        <v>NÃO</v>
      </c>
      <c r="AB84" s="357" t="s">
        <v>18</v>
      </c>
      <c r="AC84" s="358">
        <f t="shared" si="7"/>
        <v>0</v>
      </c>
      <c r="AD84" s="358" t="b">
        <f t="shared" si="11"/>
        <v>0</v>
      </c>
      <c r="AE84" s="342">
        <f t="shared" si="8"/>
        <v>0</v>
      </c>
    </row>
    <row r="85" spans="1:31">
      <c r="B85" s="367" t="s">
        <v>578</v>
      </c>
      <c r="C85" s="368" t="s">
        <v>553</v>
      </c>
      <c r="D85" s="381" t="s">
        <v>607</v>
      </c>
      <c r="E85" s="380" t="s">
        <v>607</v>
      </c>
      <c r="F85" s="380" t="s">
        <v>607</v>
      </c>
      <c r="G85" s="359"/>
      <c r="H85" s="357" t="str">
        <f t="shared" si="12"/>
        <v>NÃO</v>
      </c>
      <c r="I85" s="357" t="s">
        <v>18</v>
      </c>
      <c r="J85" s="357" t="s">
        <v>18</v>
      </c>
      <c r="K85" s="357" t="s">
        <v>18</v>
      </c>
      <c r="L85" s="357" t="str">
        <f t="shared" si="13"/>
        <v>NÃO</v>
      </c>
      <c r="M85" s="357" t="s">
        <v>18</v>
      </c>
      <c r="N85" s="357" t="s">
        <v>18</v>
      </c>
      <c r="O85" s="357" t="s">
        <v>18</v>
      </c>
      <c r="P85" s="357" t="s">
        <v>18</v>
      </c>
      <c r="Q85" s="357" t="s">
        <v>18</v>
      </c>
      <c r="R85" s="357" t="s">
        <v>18</v>
      </c>
      <c r="S85" s="357" t="s">
        <v>18</v>
      </c>
      <c r="T85" s="357" t="s">
        <v>18</v>
      </c>
      <c r="U85" s="357" t="s">
        <v>18</v>
      </c>
      <c r="V85" s="357" t="s">
        <v>18</v>
      </c>
      <c r="W85" s="357" t="s">
        <v>18</v>
      </c>
      <c r="X85" s="357" t="s">
        <v>18</v>
      </c>
      <c r="Y85" s="357" t="s">
        <v>18</v>
      </c>
      <c r="Z85" s="357" t="str">
        <f t="shared" si="9"/>
        <v>NÃO</v>
      </c>
      <c r="AA85" s="357" t="str">
        <f t="shared" si="10"/>
        <v>NÃO</v>
      </c>
      <c r="AB85" s="357" t="s">
        <v>18</v>
      </c>
      <c r="AC85" s="358">
        <f t="shared" si="7"/>
        <v>0</v>
      </c>
      <c r="AD85" s="358" t="b">
        <f t="shared" si="11"/>
        <v>0</v>
      </c>
      <c r="AE85" s="342">
        <f t="shared" si="8"/>
        <v>0</v>
      </c>
    </row>
    <row r="86" spans="1:31">
      <c r="B86" s="367" t="s">
        <v>579</v>
      </c>
      <c r="C86" s="368" t="s">
        <v>553</v>
      </c>
      <c r="D86" s="381" t="s">
        <v>607</v>
      </c>
      <c r="E86" s="380" t="s">
        <v>607</v>
      </c>
      <c r="F86" s="380" t="s">
        <v>607</v>
      </c>
      <c r="G86" s="359"/>
      <c r="H86" s="357" t="str">
        <f t="shared" si="12"/>
        <v>NÃO</v>
      </c>
      <c r="I86" s="357" t="s">
        <v>18</v>
      </c>
      <c r="J86" s="357" t="s">
        <v>18</v>
      </c>
      <c r="K86" s="357" t="s">
        <v>18</v>
      </c>
      <c r="L86" s="357" t="str">
        <f t="shared" si="13"/>
        <v>NÃO</v>
      </c>
      <c r="M86" s="357" t="s">
        <v>18</v>
      </c>
      <c r="N86" s="357" t="s">
        <v>18</v>
      </c>
      <c r="O86" s="357" t="s">
        <v>18</v>
      </c>
      <c r="P86" s="357" t="s">
        <v>18</v>
      </c>
      <c r="Q86" s="357" t="s">
        <v>18</v>
      </c>
      <c r="R86" s="357" t="s">
        <v>18</v>
      </c>
      <c r="S86" s="357" t="s">
        <v>18</v>
      </c>
      <c r="T86" s="357" t="s">
        <v>18</v>
      </c>
      <c r="U86" s="357" t="s">
        <v>18</v>
      </c>
      <c r="V86" s="357" t="s">
        <v>18</v>
      </c>
      <c r="W86" s="357" t="s">
        <v>18</v>
      </c>
      <c r="X86" s="357" t="s">
        <v>18</v>
      </c>
      <c r="Y86" s="357" t="s">
        <v>18</v>
      </c>
      <c r="Z86" s="357" t="str">
        <f t="shared" si="9"/>
        <v>NÃO</v>
      </c>
      <c r="AA86" s="357" t="str">
        <f t="shared" si="10"/>
        <v>NÃO</v>
      </c>
      <c r="AB86" s="357" t="s">
        <v>18</v>
      </c>
      <c r="AC86" s="358">
        <f t="shared" si="7"/>
        <v>0</v>
      </c>
      <c r="AD86" s="358" t="b">
        <f t="shared" si="11"/>
        <v>0</v>
      </c>
      <c r="AE86" s="342">
        <f t="shared" si="8"/>
        <v>0</v>
      </c>
    </row>
    <row r="87" spans="1:31">
      <c r="B87" s="367" t="s">
        <v>580</v>
      </c>
      <c r="C87" s="368" t="s">
        <v>553</v>
      </c>
      <c r="D87" s="381" t="s">
        <v>607</v>
      </c>
      <c r="E87" s="380" t="s">
        <v>607</v>
      </c>
      <c r="F87" s="380" t="s">
        <v>607</v>
      </c>
      <c r="G87" s="359"/>
      <c r="H87" s="357" t="str">
        <f t="shared" si="12"/>
        <v>NÃO</v>
      </c>
      <c r="I87" s="357" t="s">
        <v>18</v>
      </c>
      <c r="J87" s="357" t="s">
        <v>18</v>
      </c>
      <c r="K87" s="357" t="s">
        <v>18</v>
      </c>
      <c r="L87" s="357" t="str">
        <f t="shared" si="13"/>
        <v>NÃO</v>
      </c>
      <c r="M87" s="357" t="s">
        <v>18</v>
      </c>
      <c r="N87" s="357" t="s">
        <v>18</v>
      </c>
      <c r="O87" s="357" t="s">
        <v>18</v>
      </c>
      <c r="P87" s="357" t="s">
        <v>18</v>
      </c>
      <c r="Q87" s="357" t="s">
        <v>18</v>
      </c>
      <c r="R87" s="357" t="s">
        <v>18</v>
      </c>
      <c r="S87" s="357" t="s">
        <v>18</v>
      </c>
      <c r="T87" s="357" t="s">
        <v>18</v>
      </c>
      <c r="U87" s="357" t="s">
        <v>18</v>
      </c>
      <c r="V87" s="357" t="s">
        <v>18</v>
      </c>
      <c r="W87" s="357" t="s">
        <v>18</v>
      </c>
      <c r="X87" s="357" t="s">
        <v>18</v>
      </c>
      <c r="Y87" s="357" t="s">
        <v>18</v>
      </c>
      <c r="Z87" s="357" t="str">
        <f t="shared" si="9"/>
        <v>NÃO</v>
      </c>
      <c r="AA87" s="357" t="str">
        <f t="shared" si="10"/>
        <v>NÃO</v>
      </c>
      <c r="AB87" s="357" t="s">
        <v>18</v>
      </c>
      <c r="AC87" s="358">
        <f t="shared" si="7"/>
        <v>0</v>
      </c>
      <c r="AD87" s="358" t="b">
        <f t="shared" si="11"/>
        <v>0</v>
      </c>
      <c r="AE87" s="342">
        <f t="shared" si="8"/>
        <v>0</v>
      </c>
    </row>
    <row r="88" spans="1:31">
      <c r="B88" s="367" t="s">
        <v>581</v>
      </c>
      <c r="C88" s="368" t="s">
        <v>553</v>
      </c>
      <c r="D88" s="381" t="s">
        <v>607</v>
      </c>
      <c r="E88" s="380" t="s">
        <v>607</v>
      </c>
      <c r="F88" s="380" t="s">
        <v>607</v>
      </c>
      <c r="G88" s="359"/>
      <c r="H88" s="357" t="str">
        <f t="shared" si="12"/>
        <v>NÃO</v>
      </c>
      <c r="I88" s="357" t="s">
        <v>18</v>
      </c>
      <c r="J88" s="357" t="s">
        <v>18</v>
      </c>
      <c r="K88" s="357" t="s">
        <v>18</v>
      </c>
      <c r="L88" s="357" t="str">
        <f t="shared" si="13"/>
        <v>NÃO</v>
      </c>
      <c r="M88" s="357" t="s">
        <v>18</v>
      </c>
      <c r="N88" s="357" t="s">
        <v>18</v>
      </c>
      <c r="O88" s="357" t="s">
        <v>18</v>
      </c>
      <c r="P88" s="357" t="s">
        <v>18</v>
      </c>
      <c r="Q88" s="357" t="s">
        <v>18</v>
      </c>
      <c r="R88" s="357" t="s">
        <v>18</v>
      </c>
      <c r="S88" s="357" t="s">
        <v>18</v>
      </c>
      <c r="T88" s="357" t="s">
        <v>18</v>
      </c>
      <c r="U88" s="357" t="s">
        <v>18</v>
      </c>
      <c r="V88" s="357" t="s">
        <v>18</v>
      </c>
      <c r="W88" s="357" t="s">
        <v>18</v>
      </c>
      <c r="X88" s="357" t="s">
        <v>18</v>
      </c>
      <c r="Y88" s="357" t="s">
        <v>18</v>
      </c>
      <c r="Z88" s="357" t="str">
        <f t="shared" si="9"/>
        <v>NÃO</v>
      </c>
      <c r="AA88" s="357" t="str">
        <f t="shared" si="10"/>
        <v>NÃO</v>
      </c>
      <c r="AB88" s="357" t="s">
        <v>18</v>
      </c>
      <c r="AC88" s="358">
        <f t="shared" si="7"/>
        <v>0</v>
      </c>
      <c r="AD88" s="358" t="b">
        <f t="shared" si="11"/>
        <v>0</v>
      </c>
      <c r="AE88" s="342">
        <f t="shared" si="8"/>
        <v>0</v>
      </c>
    </row>
    <row r="89" spans="1:31">
      <c r="B89" s="367" t="s">
        <v>582</v>
      </c>
      <c r="C89" s="368" t="s">
        <v>553</v>
      </c>
      <c r="D89" s="381" t="s">
        <v>607</v>
      </c>
      <c r="E89" s="380" t="s">
        <v>607</v>
      </c>
      <c r="F89" s="380" t="s">
        <v>607</v>
      </c>
      <c r="G89" s="359"/>
      <c r="H89" s="357" t="str">
        <f t="shared" si="12"/>
        <v>NÃO</v>
      </c>
      <c r="I89" s="357" t="s">
        <v>18</v>
      </c>
      <c r="J89" s="357" t="s">
        <v>18</v>
      </c>
      <c r="K89" s="357" t="s">
        <v>18</v>
      </c>
      <c r="L89" s="357" t="str">
        <f t="shared" si="13"/>
        <v>NÃO</v>
      </c>
      <c r="M89" s="357" t="s">
        <v>18</v>
      </c>
      <c r="N89" s="357" t="s">
        <v>18</v>
      </c>
      <c r="O89" s="357" t="s">
        <v>18</v>
      </c>
      <c r="P89" s="357" t="s">
        <v>18</v>
      </c>
      <c r="Q89" s="357" t="s">
        <v>18</v>
      </c>
      <c r="R89" s="357" t="s">
        <v>18</v>
      </c>
      <c r="S89" s="357" t="s">
        <v>18</v>
      </c>
      <c r="T89" s="357" t="s">
        <v>18</v>
      </c>
      <c r="U89" s="357" t="s">
        <v>18</v>
      </c>
      <c r="V89" s="357" t="s">
        <v>18</v>
      </c>
      <c r="W89" s="357" t="s">
        <v>18</v>
      </c>
      <c r="X89" s="357" t="s">
        <v>18</v>
      </c>
      <c r="Y89" s="357" t="s">
        <v>18</v>
      </c>
      <c r="Z89" s="357" t="str">
        <f t="shared" si="9"/>
        <v>NÃO</v>
      </c>
      <c r="AA89" s="357" t="str">
        <f t="shared" si="10"/>
        <v>NÃO</v>
      </c>
      <c r="AB89" s="357" t="s">
        <v>18</v>
      </c>
      <c r="AC89" s="358">
        <f t="shared" si="7"/>
        <v>0</v>
      </c>
      <c r="AD89" s="358" t="b">
        <f t="shared" si="11"/>
        <v>0</v>
      </c>
      <c r="AE89" s="342">
        <f t="shared" si="8"/>
        <v>0</v>
      </c>
    </row>
    <row r="90" spans="1:31">
      <c r="B90" s="367" t="s">
        <v>583</v>
      </c>
      <c r="C90" s="368" t="s">
        <v>553</v>
      </c>
      <c r="D90" s="381" t="s">
        <v>607</v>
      </c>
      <c r="E90" s="380" t="s">
        <v>607</v>
      </c>
      <c r="F90" s="380" t="s">
        <v>607</v>
      </c>
      <c r="G90" s="359"/>
      <c r="H90" s="357" t="str">
        <f t="shared" si="12"/>
        <v>NÃO</v>
      </c>
      <c r="I90" s="357" t="s">
        <v>18</v>
      </c>
      <c r="J90" s="357" t="s">
        <v>18</v>
      </c>
      <c r="K90" s="357" t="s">
        <v>18</v>
      </c>
      <c r="L90" s="357" t="str">
        <f t="shared" si="13"/>
        <v>NÃO</v>
      </c>
      <c r="M90" s="357" t="s">
        <v>18</v>
      </c>
      <c r="N90" s="357" t="s">
        <v>18</v>
      </c>
      <c r="O90" s="357" t="s">
        <v>18</v>
      </c>
      <c r="P90" s="357" t="s">
        <v>18</v>
      </c>
      <c r="Q90" s="357" t="s">
        <v>18</v>
      </c>
      <c r="R90" s="357" t="s">
        <v>18</v>
      </c>
      <c r="S90" s="357" t="s">
        <v>18</v>
      </c>
      <c r="T90" s="357" t="s">
        <v>18</v>
      </c>
      <c r="U90" s="357" t="s">
        <v>18</v>
      </c>
      <c r="V90" s="357" t="s">
        <v>18</v>
      </c>
      <c r="W90" s="357" t="s">
        <v>18</v>
      </c>
      <c r="X90" s="357" t="s">
        <v>18</v>
      </c>
      <c r="Y90" s="357" t="s">
        <v>18</v>
      </c>
      <c r="Z90" s="357" t="str">
        <f t="shared" si="9"/>
        <v>NÃO</v>
      </c>
      <c r="AA90" s="357" t="str">
        <f t="shared" si="10"/>
        <v>NÃO</v>
      </c>
      <c r="AB90" s="357" t="s">
        <v>18</v>
      </c>
      <c r="AC90" s="358">
        <f t="shared" si="7"/>
        <v>0</v>
      </c>
      <c r="AD90" s="358" t="b">
        <f t="shared" si="11"/>
        <v>0</v>
      </c>
      <c r="AE90" s="342">
        <f t="shared" si="8"/>
        <v>0</v>
      </c>
    </row>
    <row r="91" spans="1:31">
      <c r="B91" s="367" t="s">
        <v>584</v>
      </c>
      <c r="C91" s="368" t="s">
        <v>553</v>
      </c>
      <c r="D91" s="381" t="s">
        <v>607</v>
      </c>
      <c r="E91" s="380" t="s">
        <v>607</v>
      </c>
      <c r="F91" s="380" t="s">
        <v>607</v>
      </c>
      <c r="G91" s="359"/>
      <c r="H91" s="357" t="str">
        <f t="shared" si="12"/>
        <v>NÃO</v>
      </c>
      <c r="I91" s="357" t="s">
        <v>18</v>
      </c>
      <c r="J91" s="357" t="s">
        <v>18</v>
      </c>
      <c r="K91" s="357" t="s">
        <v>18</v>
      </c>
      <c r="L91" s="357" t="str">
        <f t="shared" si="13"/>
        <v>NÃO</v>
      </c>
      <c r="M91" s="357" t="s">
        <v>18</v>
      </c>
      <c r="N91" s="357" t="s">
        <v>18</v>
      </c>
      <c r="O91" s="357" t="s">
        <v>18</v>
      </c>
      <c r="P91" s="357" t="s">
        <v>18</v>
      </c>
      <c r="Q91" s="357" t="s">
        <v>18</v>
      </c>
      <c r="R91" s="357" t="s">
        <v>18</v>
      </c>
      <c r="S91" s="357" t="s">
        <v>18</v>
      </c>
      <c r="T91" s="357" t="s">
        <v>18</v>
      </c>
      <c r="U91" s="357" t="s">
        <v>18</v>
      </c>
      <c r="V91" s="357" t="s">
        <v>18</v>
      </c>
      <c r="W91" s="357" t="s">
        <v>18</v>
      </c>
      <c r="X91" s="357" t="s">
        <v>18</v>
      </c>
      <c r="Y91" s="357" t="s">
        <v>18</v>
      </c>
      <c r="Z91" s="357" t="str">
        <f t="shared" si="9"/>
        <v>NÃO</v>
      </c>
      <c r="AA91" s="357" t="str">
        <f t="shared" si="10"/>
        <v>NÃO</v>
      </c>
      <c r="AB91" s="357" t="s">
        <v>18</v>
      </c>
      <c r="AC91" s="358">
        <f t="shared" si="7"/>
        <v>0</v>
      </c>
      <c r="AD91" s="358" t="b">
        <f t="shared" si="11"/>
        <v>0</v>
      </c>
      <c r="AE91" s="342">
        <f t="shared" si="8"/>
        <v>0</v>
      </c>
    </row>
    <row r="92" spans="1:31">
      <c r="B92" s="367" t="s">
        <v>585</v>
      </c>
      <c r="C92" s="368" t="s">
        <v>553</v>
      </c>
      <c r="D92" s="381" t="s">
        <v>607</v>
      </c>
      <c r="E92" s="380" t="s">
        <v>607</v>
      </c>
      <c r="F92" s="380" t="s">
        <v>607</v>
      </c>
      <c r="G92" s="359"/>
      <c r="H92" s="357" t="str">
        <f t="shared" si="12"/>
        <v>NÃO</v>
      </c>
      <c r="I92" s="357" t="s">
        <v>18</v>
      </c>
      <c r="J92" s="357" t="s">
        <v>18</v>
      </c>
      <c r="K92" s="357" t="s">
        <v>18</v>
      </c>
      <c r="L92" s="357" t="str">
        <f t="shared" si="13"/>
        <v>NÃO</v>
      </c>
      <c r="M92" s="357" t="s">
        <v>18</v>
      </c>
      <c r="N92" s="357" t="s">
        <v>18</v>
      </c>
      <c r="O92" s="357" t="s">
        <v>18</v>
      </c>
      <c r="P92" s="357" t="s">
        <v>18</v>
      </c>
      <c r="Q92" s="357" t="s">
        <v>18</v>
      </c>
      <c r="R92" s="357" t="s">
        <v>18</v>
      </c>
      <c r="S92" s="357" t="s">
        <v>18</v>
      </c>
      <c r="T92" s="357" t="s">
        <v>18</v>
      </c>
      <c r="U92" s="357" t="s">
        <v>18</v>
      </c>
      <c r="V92" s="357" t="s">
        <v>18</v>
      </c>
      <c r="W92" s="357" t="s">
        <v>18</v>
      </c>
      <c r="X92" s="357" t="s">
        <v>18</v>
      </c>
      <c r="Y92" s="357" t="s">
        <v>18</v>
      </c>
      <c r="Z92" s="357" t="str">
        <f t="shared" si="9"/>
        <v>NÃO</v>
      </c>
      <c r="AA92" s="357" t="str">
        <f t="shared" si="10"/>
        <v>NÃO</v>
      </c>
      <c r="AB92" s="357" t="s">
        <v>18</v>
      </c>
      <c r="AC92" s="358">
        <f t="shared" si="7"/>
        <v>0</v>
      </c>
      <c r="AD92" s="358" t="b">
        <f t="shared" si="11"/>
        <v>0</v>
      </c>
      <c r="AE92" s="342">
        <f t="shared" si="8"/>
        <v>0</v>
      </c>
    </row>
    <row r="93" spans="1:31">
      <c r="B93" s="367" t="s">
        <v>586</v>
      </c>
      <c r="C93" s="368" t="s">
        <v>553</v>
      </c>
      <c r="D93" s="381" t="s">
        <v>607</v>
      </c>
      <c r="E93" s="380" t="s">
        <v>607</v>
      </c>
      <c r="F93" s="380" t="s">
        <v>607</v>
      </c>
      <c r="G93" s="359"/>
      <c r="H93" s="357" t="str">
        <f t="shared" si="12"/>
        <v>NÃO</v>
      </c>
      <c r="I93" s="357" t="s">
        <v>18</v>
      </c>
      <c r="J93" s="357" t="s">
        <v>18</v>
      </c>
      <c r="K93" s="357" t="s">
        <v>18</v>
      </c>
      <c r="L93" s="357" t="str">
        <f t="shared" si="13"/>
        <v>NÃO</v>
      </c>
      <c r="M93" s="357" t="s">
        <v>18</v>
      </c>
      <c r="N93" s="357" t="s">
        <v>18</v>
      </c>
      <c r="O93" s="357" t="s">
        <v>18</v>
      </c>
      <c r="P93" s="357" t="s">
        <v>18</v>
      </c>
      <c r="Q93" s="357" t="s">
        <v>18</v>
      </c>
      <c r="R93" s="357" t="s">
        <v>18</v>
      </c>
      <c r="S93" s="357" t="s">
        <v>18</v>
      </c>
      <c r="T93" s="357" t="s">
        <v>18</v>
      </c>
      <c r="U93" s="357" t="s">
        <v>18</v>
      </c>
      <c r="V93" s="357" t="s">
        <v>18</v>
      </c>
      <c r="W93" s="357" t="s">
        <v>18</v>
      </c>
      <c r="X93" s="357" t="s">
        <v>18</v>
      </c>
      <c r="Y93" s="357" t="s">
        <v>18</v>
      </c>
      <c r="Z93" s="357" t="str">
        <f t="shared" si="9"/>
        <v>NÃO</v>
      </c>
      <c r="AA93" s="357" t="str">
        <f t="shared" si="10"/>
        <v>NÃO</v>
      </c>
      <c r="AB93" s="357" t="s">
        <v>18</v>
      </c>
      <c r="AC93" s="358">
        <f t="shared" si="7"/>
        <v>0</v>
      </c>
      <c r="AD93" s="358" t="b">
        <f t="shared" si="11"/>
        <v>0</v>
      </c>
      <c r="AE93" s="342">
        <f t="shared" si="8"/>
        <v>0</v>
      </c>
    </row>
    <row r="94" spans="1:31">
      <c r="B94" s="367" t="s">
        <v>587</v>
      </c>
      <c r="C94" s="368" t="s">
        <v>553</v>
      </c>
      <c r="D94" s="381" t="s">
        <v>607</v>
      </c>
      <c r="E94" s="380" t="s">
        <v>607</v>
      </c>
      <c r="F94" s="380" t="s">
        <v>607</v>
      </c>
      <c r="G94" s="359"/>
      <c r="H94" s="357" t="str">
        <f t="shared" si="12"/>
        <v>NÃO</v>
      </c>
      <c r="I94" s="357" t="s">
        <v>18</v>
      </c>
      <c r="J94" s="357" t="s">
        <v>18</v>
      </c>
      <c r="K94" s="357" t="s">
        <v>18</v>
      </c>
      <c r="L94" s="357" t="str">
        <f t="shared" si="13"/>
        <v>NÃO</v>
      </c>
      <c r="M94" s="357" t="s">
        <v>18</v>
      </c>
      <c r="N94" s="357" t="s">
        <v>18</v>
      </c>
      <c r="O94" s="357" t="s">
        <v>18</v>
      </c>
      <c r="P94" s="357" t="s">
        <v>18</v>
      </c>
      <c r="Q94" s="357" t="s">
        <v>18</v>
      </c>
      <c r="R94" s="357" t="s">
        <v>18</v>
      </c>
      <c r="S94" s="357" t="s">
        <v>18</v>
      </c>
      <c r="T94" s="357" t="s">
        <v>18</v>
      </c>
      <c r="U94" s="357" t="s">
        <v>18</v>
      </c>
      <c r="V94" s="357" t="s">
        <v>18</v>
      </c>
      <c r="W94" s="357" t="s">
        <v>18</v>
      </c>
      <c r="X94" s="357" t="s">
        <v>18</v>
      </c>
      <c r="Y94" s="357" t="s">
        <v>18</v>
      </c>
      <c r="Z94" s="357" t="str">
        <f t="shared" si="9"/>
        <v>NÃO</v>
      </c>
      <c r="AA94" s="357" t="str">
        <f t="shared" si="10"/>
        <v>NÃO</v>
      </c>
      <c r="AB94" s="357" t="s">
        <v>18</v>
      </c>
      <c r="AC94" s="358">
        <f t="shared" si="7"/>
        <v>0</v>
      </c>
      <c r="AD94" s="358" t="b">
        <f t="shared" si="11"/>
        <v>0</v>
      </c>
      <c r="AE94" s="342">
        <f t="shared" si="8"/>
        <v>0</v>
      </c>
    </row>
    <row r="95" spans="1:31">
      <c r="B95" s="367" t="s">
        <v>588</v>
      </c>
      <c r="C95" s="368" t="s">
        <v>553</v>
      </c>
      <c r="D95" s="381" t="s">
        <v>607</v>
      </c>
      <c r="E95" s="380" t="s">
        <v>607</v>
      </c>
      <c r="F95" s="380" t="s">
        <v>607</v>
      </c>
      <c r="G95" s="359"/>
      <c r="H95" s="357" t="str">
        <f t="shared" si="12"/>
        <v>NÃO</v>
      </c>
      <c r="I95" s="357" t="s">
        <v>18</v>
      </c>
      <c r="J95" s="357" t="s">
        <v>18</v>
      </c>
      <c r="K95" s="357" t="s">
        <v>18</v>
      </c>
      <c r="L95" s="357" t="str">
        <f t="shared" si="13"/>
        <v>NÃO</v>
      </c>
      <c r="M95" s="357" t="s">
        <v>18</v>
      </c>
      <c r="N95" s="357" t="s">
        <v>18</v>
      </c>
      <c r="O95" s="357" t="s">
        <v>18</v>
      </c>
      <c r="P95" s="357" t="s">
        <v>18</v>
      </c>
      <c r="Q95" s="357" t="s">
        <v>18</v>
      </c>
      <c r="R95" s="357" t="s">
        <v>18</v>
      </c>
      <c r="S95" s="357" t="s">
        <v>18</v>
      </c>
      <c r="T95" s="357" t="s">
        <v>18</v>
      </c>
      <c r="U95" s="357" t="s">
        <v>18</v>
      </c>
      <c r="V95" s="357" t="s">
        <v>18</v>
      </c>
      <c r="W95" s="357" t="s">
        <v>18</v>
      </c>
      <c r="X95" s="357" t="s">
        <v>18</v>
      </c>
      <c r="Y95" s="357" t="s">
        <v>18</v>
      </c>
      <c r="Z95" s="357" t="str">
        <f t="shared" si="9"/>
        <v>NÃO</v>
      </c>
      <c r="AA95" s="357" t="str">
        <f t="shared" si="10"/>
        <v>NÃO</v>
      </c>
      <c r="AB95" s="357" t="s">
        <v>18</v>
      </c>
      <c r="AC95" s="358">
        <f t="shared" si="7"/>
        <v>0</v>
      </c>
      <c r="AD95" s="358" t="b">
        <f t="shared" si="11"/>
        <v>0</v>
      </c>
      <c r="AE95" s="342">
        <f t="shared" si="8"/>
        <v>0</v>
      </c>
    </row>
    <row r="96" spans="1:31">
      <c r="B96" s="367" t="s">
        <v>589</v>
      </c>
      <c r="C96" s="368" t="s">
        <v>553</v>
      </c>
      <c r="D96" s="381" t="s">
        <v>607</v>
      </c>
      <c r="E96" s="380" t="s">
        <v>607</v>
      </c>
      <c r="F96" s="380" t="s">
        <v>607</v>
      </c>
      <c r="G96" s="359"/>
      <c r="H96" s="357" t="str">
        <f t="shared" si="12"/>
        <v>NÃO</v>
      </c>
      <c r="I96" s="357" t="s">
        <v>18</v>
      </c>
      <c r="J96" s="357" t="s">
        <v>18</v>
      </c>
      <c r="K96" s="357" t="s">
        <v>18</v>
      </c>
      <c r="L96" s="357" t="str">
        <f t="shared" si="13"/>
        <v>NÃO</v>
      </c>
      <c r="M96" s="357" t="s">
        <v>18</v>
      </c>
      <c r="N96" s="357" t="s">
        <v>18</v>
      </c>
      <c r="O96" s="357" t="s">
        <v>18</v>
      </c>
      <c r="P96" s="357" t="s">
        <v>18</v>
      </c>
      <c r="Q96" s="357" t="s">
        <v>18</v>
      </c>
      <c r="R96" s="357" t="s">
        <v>18</v>
      </c>
      <c r="S96" s="357" t="s">
        <v>18</v>
      </c>
      <c r="T96" s="357" t="s">
        <v>18</v>
      </c>
      <c r="U96" s="357" t="s">
        <v>18</v>
      </c>
      <c r="V96" s="357" t="s">
        <v>18</v>
      </c>
      <c r="W96" s="357" t="s">
        <v>18</v>
      </c>
      <c r="X96" s="357" t="s">
        <v>18</v>
      </c>
      <c r="Y96" s="357" t="s">
        <v>18</v>
      </c>
      <c r="Z96" s="357" t="str">
        <f t="shared" si="9"/>
        <v>NÃO</v>
      </c>
      <c r="AA96" s="357" t="str">
        <f t="shared" si="10"/>
        <v>NÃO</v>
      </c>
      <c r="AB96" s="357" t="s">
        <v>18</v>
      </c>
      <c r="AC96" s="358">
        <f t="shared" si="7"/>
        <v>0</v>
      </c>
      <c r="AD96" s="358" t="b">
        <f t="shared" si="11"/>
        <v>0</v>
      </c>
      <c r="AE96" s="342">
        <f t="shared" si="8"/>
        <v>0</v>
      </c>
    </row>
    <row r="97" spans="2:32">
      <c r="B97" s="367" t="s">
        <v>590</v>
      </c>
      <c r="C97" s="368" t="s">
        <v>553</v>
      </c>
      <c r="D97" s="381" t="s">
        <v>607</v>
      </c>
      <c r="E97" s="380" t="s">
        <v>607</v>
      </c>
      <c r="F97" s="380" t="s">
        <v>607</v>
      </c>
      <c r="G97" s="359"/>
      <c r="H97" s="357" t="str">
        <f t="shared" si="12"/>
        <v>NÃO</v>
      </c>
      <c r="I97" s="357" t="s">
        <v>18</v>
      </c>
      <c r="J97" s="357" t="s">
        <v>18</v>
      </c>
      <c r="K97" s="357" t="s">
        <v>18</v>
      </c>
      <c r="L97" s="357" t="str">
        <f t="shared" si="13"/>
        <v>NÃO</v>
      </c>
      <c r="M97" s="357" t="s">
        <v>18</v>
      </c>
      <c r="N97" s="357" t="s">
        <v>18</v>
      </c>
      <c r="O97" s="357" t="s">
        <v>18</v>
      </c>
      <c r="P97" s="357" t="s">
        <v>18</v>
      </c>
      <c r="Q97" s="357" t="s">
        <v>18</v>
      </c>
      <c r="R97" s="357" t="s">
        <v>18</v>
      </c>
      <c r="S97" s="357" t="s">
        <v>18</v>
      </c>
      <c r="T97" s="357" t="s">
        <v>18</v>
      </c>
      <c r="U97" s="357" t="s">
        <v>18</v>
      </c>
      <c r="V97" s="357" t="s">
        <v>18</v>
      </c>
      <c r="W97" s="357" t="s">
        <v>18</v>
      </c>
      <c r="X97" s="357" t="s">
        <v>18</v>
      </c>
      <c r="Y97" s="357" t="s">
        <v>18</v>
      </c>
      <c r="Z97" s="357" t="str">
        <f t="shared" si="9"/>
        <v>NÃO</v>
      </c>
      <c r="AA97" s="357" t="str">
        <f t="shared" si="10"/>
        <v>NÃO</v>
      </c>
      <c r="AB97" s="357" t="s">
        <v>18</v>
      </c>
      <c r="AC97" s="358">
        <f t="shared" si="7"/>
        <v>0</v>
      </c>
      <c r="AD97" s="358" t="b">
        <f t="shared" si="11"/>
        <v>0</v>
      </c>
      <c r="AE97" s="342">
        <f t="shared" si="8"/>
        <v>0</v>
      </c>
    </row>
    <row r="98" spans="2:32">
      <c r="B98" s="367" t="s">
        <v>591</v>
      </c>
      <c r="C98" s="368" t="s">
        <v>553</v>
      </c>
      <c r="D98" s="381" t="s">
        <v>607</v>
      </c>
      <c r="E98" s="380" t="s">
        <v>607</v>
      </c>
      <c r="F98" s="380" t="s">
        <v>607</v>
      </c>
      <c r="G98" s="359"/>
      <c r="H98" s="357" t="str">
        <f t="shared" si="12"/>
        <v>NÃO</v>
      </c>
      <c r="I98" s="357" t="s">
        <v>18</v>
      </c>
      <c r="J98" s="357" t="s">
        <v>18</v>
      </c>
      <c r="K98" s="357" t="s">
        <v>18</v>
      </c>
      <c r="L98" s="357" t="str">
        <f t="shared" si="13"/>
        <v>NÃO</v>
      </c>
      <c r="M98" s="357" t="s">
        <v>18</v>
      </c>
      <c r="N98" s="357" t="s">
        <v>18</v>
      </c>
      <c r="O98" s="357" t="s">
        <v>18</v>
      </c>
      <c r="P98" s="357" t="s">
        <v>18</v>
      </c>
      <c r="Q98" s="357" t="s">
        <v>18</v>
      </c>
      <c r="R98" s="357" t="s">
        <v>18</v>
      </c>
      <c r="S98" s="357" t="s">
        <v>18</v>
      </c>
      <c r="T98" s="357" t="s">
        <v>18</v>
      </c>
      <c r="U98" s="357" t="s">
        <v>18</v>
      </c>
      <c r="V98" s="357" t="s">
        <v>18</v>
      </c>
      <c r="W98" s="357" t="s">
        <v>18</v>
      </c>
      <c r="X98" s="357" t="s">
        <v>18</v>
      </c>
      <c r="Y98" s="357" t="s">
        <v>18</v>
      </c>
      <c r="Z98" s="357" t="str">
        <f t="shared" si="9"/>
        <v>NÃO</v>
      </c>
      <c r="AA98" s="357" t="str">
        <f t="shared" si="10"/>
        <v>NÃO</v>
      </c>
      <c r="AB98" s="357" t="s">
        <v>18</v>
      </c>
      <c r="AC98" s="358">
        <f t="shared" si="7"/>
        <v>0</v>
      </c>
      <c r="AD98" s="358" t="b">
        <f t="shared" si="11"/>
        <v>0</v>
      </c>
      <c r="AE98" s="342">
        <f t="shared" si="8"/>
        <v>0</v>
      </c>
    </row>
    <row r="99" spans="2:32">
      <c r="B99" s="367" t="s">
        <v>592</v>
      </c>
      <c r="C99" s="368" t="s">
        <v>553</v>
      </c>
      <c r="D99" s="381" t="s">
        <v>607</v>
      </c>
      <c r="E99" s="380" t="s">
        <v>607</v>
      </c>
      <c r="F99" s="380" t="s">
        <v>607</v>
      </c>
      <c r="G99" s="359"/>
      <c r="H99" s="357" t="str">
        <f t="shared" si="12"/>
        <v>NÃO</v>
      </c>
      <c r="I99" s="357" t="s">
        <v>18</v>
      </c>
      <c r="J99" s="357" t="s">
        <v>18</v>
      </c>
      <c r="K99" s="357" t="s">
        <v>18</v>
      </c>
      <c r="L99" s="357" t="str">
        <f t="shared" si="13"/>
        <v>NÃO</v>
      </c>
      <c r="M99" s="357" t="s">
        <v>18</v>
      </c>
      <c r="N99" s="357" t="s">
        <v>18</v>
      </c>
      <c r="O99" s="357" t="s">
        <v>18</v>
      </c>
      <c r="P99" s="357" t="s">
        <v>18</v>
      </c>
      <c r="Q99" s="357" t="s">
        <v>18</v>
      </c>
      <c r="R99" s="357" t="s">
        <v>18</v>
      </c>
      <c r="S99" s="357" t="s">
        <v>18</v>
      </c>
      <c r="T99" s="357" t="s">
        <v>18</v>
      </c>
      <c r="U99" s="357" t="s">
        <v>18</v>
      </c>
      <c r="V99" s="357" t="s">
        <v>18</v>
      </c>
      <c r="W99" s="357" t="s">
        <v>18</v>
      </c>
      <c r="X99" s="357" t="s">
        <v>18</v>
      </c>
      <c r="Y99" s="357" t="s">
        <v>18</v>
      </c>
      <c r="Z99" s="357" t="str">
        <f t="shared" si="9"/>
        <v>NÃO</v>
      </c>
      <c r="AA99" s="357" t="str">
        <f t="shared" si="10"/>
        <v>NÃO</v>
      </c>
      <c r="AB99" s="357" t="s">
        <v>18</v>
      </c>
      <c r="AC99" s="358">
        <f t="shared" ref="AC99:AC111" si="14">IF(COUNTIFS($H$1:$AB$1,"x",H99:AB99,"SIM")&gt;0,(D99+E99+F99),0)</f>
        <v>0</v>
      </c>
      <c r="AD99" s="358" t="b">
        <f t="shared" si="11"/>
        <v>0</v>
      </c>
      <c r="AE99" s="342">
        <f t="shared" ref="AE99:AE111" si="15">COUNTIFS(H99:AB99,"SIM")</f>
        <v>0</v>
      </c>
    </row>
    <row r="100" spans="2:32">
      <c r="B100" s="367" t="s">
        <v>593</v>
      </c>
      <c r="C100" s="368" t="s">
        <v>553</v>
      </c>
      <c r="D100" s="381" t="s">
        <v>607</v>
      </c>
      <c r="E100" s="380" t="s">
        <v>607</v>
      </c>
      <c r="F100" s="380" t="s">
        <v>607</v>
      </c>
      <c r="G100" s="359"/>
      <c r="H100" s="357" t="str">
        <f t="shared" si="12"/>
        <v>NÃO</v>
      </c>
      <c r="I100" s="357" t="s">
        <v>18</v>
      </c>
      <c r="J100" s="357" t="s">
        <v>18</v>
      </c>
      <c r="K100" s="357" t="s">
        <v>18</v>
      </c>
      <c r="L100" s="357" t="str">
        <f t="shared" si="13"/>
        <v>NÃO</v>
      </c>
      <c r="M100" s="357" t="s">
        <v>18</v>
      </c>
      <c r="N100" s="357" t="s">
        <v>18</v>
      </c>
      <c r="O100" s="357" t="s">
        <v>18</v>
      </c>
      <c r="P100" s="357" t="s">
        <v>18</v>
      </c>
      <c r="Q100" s="357" t="s">
        <v>18</v>
      </c>
      <c r="R100" s="357" t="s">
        <v>18</v>
      </c>
      <c r="S100" s="357" t="s">
        <v>18</v>
      </c>
      <c r="T100" s="357" t="s">
        <v>18</v>
      </c>
      <c r="U100" s="357" t="s">
        <v>18</v>
      </c>
      <c r="V100" s="357" t="s">
        <v>18</v>
      </c>
      <c r="W100" s="357" t="s">
        <v>18</v>
      </c>
      <c r="X100" s="357" t="s">
        <v>18</v>
      </c>
      <c r="Y100" s="357" t="s">
        <v>18</v>
      </c>
      <c r="Z100" s="357" t="str">
        <f t="shared" si="9"/>
        <v>NÃO</v>
      </c>
      <c r="AA100" s="357" t="str">
        <f t="shared" si="10"/>
        <v>NÃO</v>
      </c>
      <c r="AB100" s="357" t="s">
        <v>18</v>
      </c>
      <c r="AC100" s="358">
        <f t="shared" si="14"/>
        <v>0</v>
      </c>
      <c r="AD100" s="358" t="b">
        <f t="shared" si="11"/>
        <v>0</v>
      </c>
      <c r="AE100" s="342">
        <f t="shared" si="15"/>
        <v>0</v>
      </c>
    </row>
    <row r="101" spans="2:32">
      <c r="B101" s="367" t="s">
        <v>594</v>
      </c>
      <c r="C101" s="368" t="s">
        <v>553</v>
      </c>
      <c r="D101" s="381" t="s">
        <v>607</v>
      </c>
      <c r="E101" s="380" t="s">
        <v>607</v>
      </c>
      <c r="F101" s="380" t="s">
        <v>607</v>
      </c>
      <c r="G101" s="359"/>
      <c r="H101" s="357" t="str">
        <f t="shared" si="12"/>
        <v>NÃO</v>
      </c>
      <c r="I101" s="357" t="s">
        <v>18</v>
      </c>
      <c r="J101" s="357" t="s">
        <v>18</v>
      </c>
      <c r="K101" s="357" t="s">
        <v>18</v>
      </c>
      <c r="L101" s="357" t="str">
        <f t="shared" si="13"/>
        <v>NÃO</v>
      </c>
      <c r="M101" s="357" t="s">
        <v>18</v>
      </c>
      <c r="N101" s="357" t="s">
        <v>18</v>
      </c>
      <c r="O101" s="357" t="s">
        <v>18</v>
      </c>
      <c r="P101" s="357" t="s">
        <v>18</v>
      </c>
      <c r="Q101" s="357" t="s">
        <v>18</v>
      </c>
      <c r="R101" s="357" t="s">
        <v>18</v>
      </c>
      <c r="S101" s="357" t="s">
        <v>18</v>
      </c>
      <c r="T101" s="357" t="s">
        <v>18</v>
      </c>
      <c r="U101" s="357" t="s">
        <v>18</v>
      </c>
      <c r="V101" s="357" t="s">
        <v>18</v>
      </c>
      <c r="W101" s="357" t="s">
        <v>18</v>
      </c>
      <c r="X101" s="357" t="s">
        <v>18</v>
      </c>
      <c r="Y101" s="357" t="s">
        <v>18</v>
      </c>
      <c r="Z101" s="357" t="str">
        <f t="shared" si="9"/>
        <v>NÃO</v>
      </c>
      <c r="AA101" s="357" t="str">
        <f t="shared" si="10"/>
        <v>NÃO</v>
      </c>
      <c r="AB101" s="357" t="s">
        <v>18</v>
      </c>
      <c r="AC101" s="358">
        <f t="shared" si="14"/>
        <v>0</v>
      </c>
      <c r="AD101" s="358" t="b">
        <f t="shared" si="11"/>
        <v>0</v>
      </c>
      <c r="AE101" s="342">
        <f t="shared" si="15"/>
        <v>0</v>
      </c>
    </row>
    <row r="102" spans="2:32">
      <c r="B102" s="367" t="s">
        <v>595</v>
      </c>
      <c r="C102" s="368" t="s">
        <v>553</v>
      </c>
      <c r="D102" s="381" t="s">
        <v>607</v>
      </c>
      <c r="E102" s="380" t="s">
        <v>607</v>
      </c>
      <c r="F102" s="380" t="s">
        <v>607</v>
      </c>
      <c r="G102" s="359"/>
      <c r="H102" s="357" t="str">
        <f t="shared" si="12"/>
        <v>NÃO</v>
      </c>
      <c r="I102" s="357" t="s">
        <v>18</v>
      </c>
      <c r="J102" s="357" t="s">
        <v>18</v>
      </c>
      <c r="K102" s="357" t="s">
        <v>18</v>
      </c>
      <c r="L102" s="357" t="str">
        <f t="shared" si="13"/>
        <v>NÃO</v>
      </c>
      <c r="M102" s="357" t="s">
        <v>18</v>
      </c>
      <c r="N102" s="357" t="s">
        <v>18</v>
      </c>
      <c r="O102" s="357" t="s">
        <v>18</v>
      </c>
      <c r="P102" s="357" t="s">
        <v>18</v>
      </c>
      <c r="Q102" s="357" t="s">
        <v>18</v>
      </c>
      <c r="R102" s="357" t="s">
        <v>18</v>
      </c>
      <c r="S102" s="357" t="s">
        <v>18</v>
      </c>
      <c r="T102" s="357" t="s">
        <v>18</v>
      </c>
      <c r="U102" s="357" t="s">
        <v>18</v>
      </c>
      <c r="V102" s="357" t="s">
        <v>18</v>
      </c>
      <c r="W102" s="357" t="s">
        <v>18</v>
      </c>
      <c r="X102" s="357" t="s">
        <v>18</v>
      </c>
      <c r="Y102" s="357" t="s">
        <v>18</v>
      </c>
      <c r="Z102" s="357" t="str">
        <f t="shared" si="9"/>
        <v>NÃO</v>
      </c>
      <c r="AA102" s="357" t="str">
        <f t="shared" si="10"/>
        <v>NÃO</v>
      </c>
      <c r="AB102" s="357" t="s">
        <v>18</v>
      </c>
      <c r="AC102" s="358">
        <f t="shared" si="14"/>
        <v>0</v>
      </c>
      <c r="AD102" s="358" t="b">
        <f t="shared" si="11"/>
        <v>0</v>
      </c>
      <c r="AE102" s="342">
        <f t="shared" si="15"/>
        <v>0</v>
      </c>
      <c r="AF102" s="358"/>
    </row>
    <row r="103" spans="2:32">
      <c r="B103" s="367" t="s">
        <v>596</v>
      </c>
      <c r="C103" s="368" t="s">
        <v>553</v>
      </c>
      <c r="D103" s="381" t="s">
        <v>607</v>
      </c>
      <c r="E103" s="380" t="s">
        <v>607</v>
      </c>
      <c r="F103" s="380" t="s">
        <v>607</v>
      </c>
      <c r="G103" s="359"/>
      <c r="H103" s="357" t="str">
        <f t="shared" si="12"/>
        <v>NÃO</v>
      </c>
      <c r="I103" s="357" t="s">
        <v>18</v>
      </c>
      <c r="J103" s="357" t="s">
        <v>18</v>
      </c>
      <c r="K103" s="357" t="s">
        <v>18</v>
      </c>
      <c r="L103" s="357" t="str">
        <f t="shared" si="13"/>
        <v>NÃO</v>
      </c>
      <c r="M103" s="357" t="s">
        <v>18</v>
      </c>
      <c r="N103" s="357" t="s">
        <v>18</v>
      </c>
      <c r="O103" s="357" t="s">
        <v>18</v>
      </c>
      <c r="P103" s="357" t="s">
        <v>18</v>
      </c>
      <c r="Q103" s="357" t="s">
        <v>18</v>
      </c>
      <c r="R103" s="357" t="s">
        <v>18</v>
      </c>
      <c r="S103" s="357" t="s">
        <v>18</v>
      </c>
      <c r="T103" s="357" t="s">
        <v>18</v>
      </c>
      <c r="U103" s="357" t="s">
        <v>18</v>
      </c>
      <c r="V103" s="357" t="s">
        <v>18</v>
      </c>
      <c r="W103" s="357" t="s">
        <v>18</v>
      </c>
      <c r="X103" s="357" t="s">
        <v>18</v>
      </c>
      <c r="Y103" s="357" t="s">
        <v>18</v>
      </c>
      <c r="Z103" s="357" t="str">
        <f t="shared" si="9"/>
        <v>NÃO</v>
      </c>
      <c r="AA103" s="357" t="str">
        <f t="shared" si="10"/>
        <v>NÃO</v>
      </c>
      <c r="AB103" s="357" t="s">
        <v>18</v>
      </c>
      <c r="AC103" s="358">
        <f t="shared" si="14"/>
        <v>0</v>
      </c>
      <c r="AD103" s="358" t="b">
        <f t="shared" si="11"/>
        <v>0</v>
      </c>
      <c r="AE103" s="342">
        <f t="shared" si="15"/>
        <v>0</v>
      </c>
    </row>
    <row r="104" spans="2:32">
      <c r="B104" s="367" t="s">
        <v>597</v>
      </c>
      <c r="C104" s="368" t="s">
        <v>553</v>
      </c>
      <c r="D104" s="381" t="s">
        <v>607</v>
      </c>
      <c r="E104" s="380" t="s">
        <v>607</v>
      </c>
      <c r="F104" s="380" t="s">
        <v>607</v>
      </c>
      <c r="G104" s="359"/>
      <c r="H104" s="357" t="str">
        <f t="shared" si="12"/>
        <v>NÃO</v>
      </c>
      <c r="I104" s="357" t="s">
        <v>18</v>
      </c>
      <c r="J104" s="357" t="s">
        <v>18</v>
      </c>
      <c r="K104" s="357" t="s">
        <v>18</v>
      </c>
      <c r="L104" s="357" t="str">
        <f t="shared" si="13"/>
        <v>NÃO</v>
      </c>
      <c r="M104" s="357" t="s">
        <v>18</v>
      </c>
      <c r="N104" s="357" t="s">
        <v>18</v>
      </c>
      <c r="O104" s="357" t="s">
        <v>18</v>
      </c>
      <c r="P104" s="357" t="s">
        <v>18</v>
      </c>
      <c r="Q104" s="357" t="s">
        <v>18</v>
      </c>
      <c r="R104" s="357" t="s">
        <v>18</v>
      </c>
      <c r="S104" s="357" t="s">
        <v>18</v>
      </c>
      <c r="T104" s="357" t="s">
        <v>18</v>
      </c>
      <c r="U104" s="357" t="s">
        <v>18</v>
      </c>
      <c r="V104" s="357" t="s">
        <v>18</v>
      </c>
      <c r="W104" s="357" t="s">
        <v>18</v>
      </c>
      <c r="X104" s="357" t="s">
        <v>18</v>
      </c>
      <c r="Y104" s="357" t="s">
        <v>18</v>
      </c>
      <c r="Z104" s="357" t="str">
        <f t="shared" si="9"/>
        <v>NÃO</v>
      </c>
      <c r="AA104" s="357" t="str">
        <f t="shared" si="10"/>
        <v>NÃO</v>
      </c>
      <c r="AB104" s="357" t="s">
        <v>18</v>
      </c>
      <c r="AC104" s="358">
        <f t="shared" si="14"/>
        <v>0</v>
      </c>
      <c r="AD104" s="358" t="b">
        <f t="shared" si="11"/>
        <v>0</v>
      </c>
      <c r="AE104" s="342">
        <f t="shared" si="15"/>
        <v>0</v>
      </c>
    </row>
    <row r="105" spans="2:32">
      <c r="B105" s="367" t="s">
        <v>597</v>
      </c>
      <c r="C105" s="368" t="s">
        <v>553</v>
      </c>
      <c r="D105" s="381" t="s">
        <v>607</v>
      </c>
      <c r="E105" s="380" t="s">
        <v>607</v>
      </c>
      <c r="F105" s="380" t="s">
        <v>607</v>
      </c>
      <c r="G105" s="359"/>
      <c r="H105" s="357" t="str">
        <f t="shared" si="12"/>
        <v>NÃO</v>
      </c>
      <c r="I105" s="357" t="s">
        <v>18</v>
      </c>
      <c r="J105" s="357" t="s">
        <v>18</v>
      </c>
      <c r="K105" s="357" t="s">
        <v>18</v>
      </c>
      <c r="L105" s="357" t="str">
        <f t="shared" si="13"/>
        <v>NÃO</v>
      </c>
      <c r="M105" s="357" t="s">
        <v>18</v>
      </c>
      <c r="N105" s="357" t="s">
        <v>18</v>
      </c>
      <c r="O105" s="357" t="s">
        <v>18</v>
      </c>
      <c r="P105" s="357" t="s">
        <v>18</v>
      </c>
      <c r="Q105" s="357" t="s">
        <v>18</v>
      </c>
      <c r="R105" s="357" t="s">
        <v>18</v>
      </c>
      <c r="S105" s="357" t="s">
        <v>18</v>
      </c>
      <c r="T105" s="357" t="s">
        <v>18</v>
      </c>
      <c r="U105" s="357" t="s">
        <v>18</v>
      </c>
      <c r="V105" s="357" t="s">
        <v>18</v>
      </c>
      <c r="W105" s="357" t="s">
        <v>18</v>
      </c>
      <c r="X105" s="357" t="s">
        <v>18</v>
      </c>
      <c r="Y105" s="357" t="s">
        <v>18</v>
      </c>
      <c r="Z105" s="357" t="str">
        <f t="shared" si="9"/>
        <v>NÃO</v>
      </c>
      <c r="AA105" s="357" t="str">
        <f t="shared" si="10"/>
        <v>NÃO</v>
      </c>
      <c r="AB105" s="357" t="s">
        <v>18</v>
      </c>
      <c r="AC105" s="358">
        <f t="shared" si="14"/>
        <v>0</v>
      </c>
      <c r="AD105" s="358" t="b">
        <f t="shared" si="11"/>
        <v>0</v>
      </c>
      <c r="AE105" s="342">
        <f t="shared" si="15"/>
        <v>0</v>
      </c>
    </row>
    <row r="106" spans="2:32">
      <c r="B106" s="367" t="s">
        <v>598</v>
      </c>
      <c r="C106" s="368" t="s">
        <v>553</v>
      </c>
      <c r="D106" s="381" t="s">
        <v>607</v>
      </c>
      <c r="E106" s="380" t="s">
        <v>607</v>
      </c>
      <c r="F106" s="380" t="s">
        <v>607</v>
      </c>
      <c r="G106" s="359"/>
      <c r="H106" s="357" t="str">
        <f t="shared" si="12"/>
        <v>NÃO</v>
      </c>
      <c r="I106" s="357" t="s">
        <v>18</v>
      </c>
      <c r="J106" s="357" t="s">
        <v>18</v>
      </c>
      <c r="K106" s="357" t="s">
        <v>18</v>
      </c>
      <c r="L106" s="357" t="str">
        <f t="shared" si="13"/>
        <v>NÃO</v>
      </c>
      <c r="M106" s="357" t="s">
        <v>18</v>
      </c>
      <c r="N106" s="357" t="s">
        <v>18</v>
      </c>
      <c r="O106" s="357" t="s">
        <v>18</v>
      </c>
      <c r="P106" s="357" t="s">
        <v>18</v>
      </c>
      <c r="Q106" s="357" t="s">
        <v>18</v>
      </c>
      <c r="R106" s="357" t="s">
        <v>18</v>
      </c>
      <c r="S106" s="357" t="s">
        <v>18</v>
      </c>
      <c r="T106" s="357" t="s">
        <v>18</v>
      </c>
      <c r="U106" s="357" t="s">
        <v>18</v>
      </c>
      <c r="V106" s="357" t="s">
        <v>18</v>
      </c>
      <c r="W106" s="357" t="s">
        <v>18</v>
      </c>
      <c r="X106" s="357" t="s">
        <v>18</v>
      </c>
      <c r="Y106" s="357" t="s">
        <v>18</v>
      </c>
      <c r="Z106" s="357" t="str">
        <f t="shared" si="9"/>
        <v>NÃO</v>
      </c>
      <c r="AA106" s="357" t="str">
        <f t="shared" si="10"/>
        <v>NÃO</v>
      </c>
      <c r="AB106" s="357" t="s">
        <v>18</v>
      </c>
      <c r="AC106" s="358">
        <f t="shared" si="14"/>
        <v>0</v>
      </c>
      <c r="AD106" s="358" t="b">
        <f t="shared" si="11"/>
        <v>0</v>
      </c>
      <c r="AE106" s="342">
        <f t="shared" si="15"/>
        <v>0</v>
      </c>
    </row>
    <row r="107" spans="2:32">
      <c r="B107" s="367" t="s">
        <v>599</v>
      </c>
      <c r="C107" s="368" t="s">
        <v>553</v>
      </c>
      <c r="D107" s="381" t="s">
        <v>607</v>
      </c>
      <c r="E107" s="380" t="s">
        <v>607</v>
      </c>
      <c r="F107" s="380" t="s">
        <v>607</v>
      </c>
      <c r="G107" s="359"/>
      <c r="H107" s="357" t="str">
        <f t="shared" si="12"/>
        <v>NÃO</v>
      </c>
      <c r="I107" s="357" t="s">
        <v>18</v>
      </c>
      <c r="J107" s="357" t="s">
        <v>18</v>
      </c>
      <c r="K107" s="357" t="s">
        <v>18</v>
      </c>
      <c r="L107" s="357" t="str">
        <f t="shared" si="13"/>
        <v>NÃO</v>
      </c>
      <c r="M107" s="357" t="s">
        <v>18</v>
      </c>
      <c r="N107" s="357" t="s">
        <v>18</v>
      </c>
      <c r="O107" s="357" t="s">
        <v>18</v>
      </c>
      <c r="P107" s="357" t="s">
        <v>18</v>
      </c>
      <c r="Q107" s="357" t="s">
        <v>18</v>
      </c>
      <c r="R107" s="357" t="s">
        <v>18</v>
      </c>
      <c r="S107" s="357" t="s">
        <v>18</v>
      </c>
      <c r="T107" s="357" t="s">
        <v>18</v>
      </c>
      <c r="U107" s="357" t="s">
        <v>18</v>
      </c>
      <c r="V107" s="357" t="s">
        <v>18</v>
      </c>
      <c r="W107" s="357" t="s">
        <v>18</v>
      </c>
      <c r="X107" s="357" t="s">
        <v>18</v>
      </c>
      <c r="Y107" s="357" t="s">
        <v>18</v>
      </c>
      <c r="Z107" s="357" t="str">
        <f t="shared" si="9"/>
        <v>NÃO</v>
      </c>
      <c r="AA107" s="357" t="str">
        <f t="shared" si="10"/>
        <v>NÃO</v>
      </c>
      <c r="AB107" s="357" t="s">
        <v>18</v>
      </c>
      <c r="AC107" s="358">
        <f t="shared" si="14"/>
        <v>0</v>
      </c>
      <c r="AD107" s="358" t="b">
        <f t="shared" si="11"/>
        <v>0</v>
      </c>
      <c r="AE107" s="342">
        <f t="shared" si="15"/>
        <v>0</v>
      </c>
    </row>
    <row r="108" spans="2:32">
      <c r="B108" s="367" t="s">
        <v>600</v>
      </c>
      <c r="C108" s="368" t="s">
        <v>553</v>
      </c>
      <c r="D108" s="381" t="s">
        <v>607</v>
      </c>
      <c r="E108" s="380" t="s">
        <v>607</v>
      </c>
      <c r="F108" s="380" t="s">
        <v>607</v>
      </c>
      <c r="G108" s="359"/>
      <c r="H108" s="357" t="str">
        <f t="shared" si="12"/>
        <v>NÃO</v>
      </c>
      <c r="I108" s="357" t="s">
        <v>18</v>
      </c>
      <c r="J108" s="357" t="s">
        <v>18</v>
      </c>
      <c r="K108" s="357" t="s">
        <v>18</v>
      </c>
      <c r="L108" s="357" t="str">
        <f t="shared" si="13"/>
        <v>NÃO</v>
      </c>
      <c r="M108" s="357" t="s">
        <v>18</v>
      </c>
      <c r="N108" s="357" t="s">
        <v>18</v>
      </c>
      <c r="O108" s="357" t="s">
        <v>18</v>
      </c>
      <c r="P108" s="357" t="s">
        <v>18</v>
      </c>
      <c r="Q108" s="357" t="s">
        <v>18</v>
      </c>
      <c r="R108" s="357" t="s">
        <v>18</v>
      </c>
      <c r="S108" s="357" t="s">
        <v>18</v>
      </c>
      <c r="T108" s="357" t="s">
        <v>18</v>
      </c>
      <c r="U108" s="357" t="s">
        <v>18</v>
      </c>
      <c r="V108" s="357" t="s">
        <v>18</v>
      </c>
      <c r="W108" s="357" t="s">
        <v>18</v>
      </c>
      <c r="X108" s="357" t="s">
        <v>18</v>
      </c>
      <c r="Y108" s="357" t="s">
        <v>18</v>
      </c>
      <c r="Z108" s="357" t="str">
        <f t="shared" si="9"/>
        <v>NÃO</v>
      </c>
      <c r="AA108" s="357" t="str">
        <f t="shared" si="10"/>
        <v>NÃO</v>
      </c>
      <c r="AB108" s="357" t="s">
        <v>18</v>
      </c>
      <c r="AC108" s="358">
        <f t="shared" si="14"/>
        <v>0</v>
      </c>
      <c r="AD108" s="358" t="b">
        <f t="shared" si="11"/>
        <v>0</v>
      </c>
      <c r="AE108" s="342">
        <f t="shared" si="15"/>
        <v>0</v>
      </c>
    </row>
    <row r="109" spans="2:32">
      <c r="B109" s="367" t="s">
        <v>601</v>
      </c>
      <c r="C109" s="368" t="s">
        <v>553</v>
      </c>
      <c r="D109" s="381" t="s">
        <v>607</v>
      </c>
      <c r="E109" s="380" t="s">
        <v>607</v>
      </c>
      <c r="F109" s="380" t="s">
        <v>607</v>
      </c>
      <c r="G109" s="359"/>
      <c r="H109" s="357" t="str">
        <f t="shared" si="12"/>
        <v>NÃO</v>
      </c>
      <c r="I109" s="357" t="s">
        <v>18</v>
      </c>
      <c r="J109" s="357" t="s">
        <v>18</v>
      </c>
      <c r="K109" s="357" t="s">
        <v>18</v>
      </c>
      <c r="L109" s="357" t="str">
        <f t="shared" si="13"/>
        <v>NÃO</v>
      </c>
      <c r="M109" s="357" t="s">
        <v>18</v>
      </c>
      <c r="N109" s="357" t="s">
        <v>18</v>
      </c>
      <c r="O109" s="357" t="s">
        <v>18</v>
      </c>
      <c r="P109" s="357" t="s">
        <v>18</v>
      </c>
      <c r="Q109" s="357" t="s">
        <v>18</v>
      </c>
      <c r="R109" s="357" t="s">
        <v>18</v>
      </c>
      <c r="S109" s="357" t="s">
        <v>18</v>
      </c>
      <c r="T109" s="357" t="s">
        <v>18</v>
      </c>
      <c r="U109" s="357" t="s">
        <v>18</v>
      </c>
      <c r="V109" s="357" t="s">
        <v>18</v>
      </c>
      <c r="W109" s="357" t="s">
        <v>18</v>
      </c>
      <c r="X109" s="357" t="s">
        <v>18</v>
      </c>
      <c r="Y109" s="357" t="s">
        <v>18</v>
      </c>
      <c r="Z109" s="357" t="str">
        <f t="shared" si="9"/>
        <v>NÃO</v>
      </c>
      <c r="AA109" s="357" t="str">
        <f t="shared" si="10"/>
        <v>NÃO</v>
      </c>
      <c r="AB109" s="357" t="s">
        <v>18</v>
      </c>
      <c r="AC109" s="358">
        <f t="shared" si="14"/>
        <v>0</v>
      </c>
      <c r="AD109" s="358" t="b">
        <f t="shared" si="11"/>
        <v>0</v>
      </c>
      <c r="AE109" s="342">
        <f t="shared" si="15"/>
        <v>0</v>
      </c>
    </row>
    <row r="110" spans="2:32">
      <c r="B110" s="367" t="s">
        <v>602</v>
      </c>
      <c r="C110" s="368" t="s">
        <v>553</v>
      </c>
      <c r="D110" s="381" t="s">
        <v>607</v>
      </c>
      <c r="E110" s="380" t="s">
        <v>607</v>
      </c>
      <c r="F110" s="380" t="s">
        <v>607</v>
      </c>
      <c r="G110" s="359"/>
      <c r="H110" s="357" t="str">
        <f t="shared" si="12"/>
        <v>NÃO</v>
      </c>
      <c r="I110" s="357" t="s">
        <v>18</v>
      </c>
      <c r="J110" s="357" t="s">
        <v>18</v>
      </c>
      <c r="K110" s="357" t="s">
        <v>18</v>
      </c>
      <c r="L110" s="357" t="str">
        <f t="shared" si="13"/>
        <v>NÃO</v>
      </c>
      <c r="M110" s="357" t="s">
        <v>18</v>
      </c>
      <c r="N110" s="357" t="s">
        <v>18</v>
      </c>
      <c r="O110" s="357" t="s">
        <v>18</v>
      </c>
      <c r="P110" s="357" t="s">
        <v>18</v>
      </c>
      <c r="Q110" s="357" t="s">
        <v>18</v>
      </c>
      <c r="R110" s="357" t="s">
        <v>18</v>
      </c>
      <c r="S110" s="357" t="s">
        <v>18</v>
      </c>
      <c r="T110" s="357" t="s">
        <v>18</v>
      </c>
      <c r="U110" s="357" t="s">
        <v>18</v>
      </c>
      <c r="V110" s="357" t="s">
        <v>18</v>
      </c>
      <c r="W110" s="357" t="s">
        <v>18</v>
      </c>
      <c r="X110" s="357" t="s">
        <v>18</v>
      </c>
      <c r="Y110" s="357" t="s">
        <v>18</v>
      </c>
      <c r="Z110" s="357" t="str">
        <f t="shared" si="9"/>
        <v>NÃO</v>
      </c>
      <c r="AA110" s="357" t="str">
        <f t="shared" si="10"/>
        <v>NÃO</v>
      </c>
      <c r="AB110" s="357" t="s">
        <v>18</v>
      </c>
      <c r="AC110" s="358">
        <f t="shared" si="14"/>
        <v>0</v>
      </c>
      <c r="AD110" s="358" t="b">
        <f t="shared" si="11"/>
        <v>0</v>
      </c>
      <c r="AE110" s="342">
        <f t="shared" si="15"/>
        <v>0</v>
      </c>
    </row>
    <row r="111" spans="2:32">
      <c r="B111" s="367" t="s">
        <v>603</v>
      </c>
      <c r="C111" s="368" t="s">
        <v>553</v>
      </c>
      <c r="D111" s="381" t="s">
        <v>607</v>
      </c>
      <c r="E111" s="380" t="s">
        <v>607</v>
      </c>
      <c r="F111" s="380" t="s">
        <v>607</v>
      </c>
      <c r="G111" s="359"/>
      <c r="H111" s="357" t="str">
        <f t="shared" si="12"/>
        <v>NÃO</v>
      </c>
      <c r="I111" s="357" t="s">
        <v>18</v>
      </c>
      <c r="J111" s="357" t="s">
        <v>18</v>
      </c>
      <c r="K111" s="357" t="s">
        <v>18</v>
      </c>
      <c r="L111" s="357" t="str">
        <f t="shared" si="13"/>
        <v>NÃO</v>
      </c>
      <c r="M111" s="357" t="s">
        <v>18</v>
      </c>
      <c r="N111" s="357" t="s">
        <v>18</v>
      </c>
      <c r="O111" s="357" t="s">
        <v>18</v>
      </c>
      <c r="P111" s="357" t="s">
        <v>18</v>
      </c>
      <c r="Q111" s="357" t="s">
        <v>18</v>
      </c>
      <c r="R111" s="357" t="s">
        <v>18</v>
      </c>
      <c r="S111" s="357" t="s">
        <v>18</v>
      </c>
      <c r="T111" s="357" t="s">
        <v>18</v>
      </c>
      <c r="U111" s="357" t="s">
        <v>18</v>
      </c>
      <c r="V111" s="357" t="s">
        <v>18</v>
      </c>
      <c r="W111" s="357" t="s">
        <v>18</v>
      </c>
      <c r="X111" s="357" t="s">
        <v>18</v>
      </c>
      <c r="Y111" s="357" t="s">
        <v>18</v>
      </c>
      <c r="Z111" s="357" t="str">
        <f t="shared" si="9"/>
        <v>NÃO</v>
      </c>
      <c r="AA111" s="357" t="str">
        <f t="shared" si="10"/>
        <v>NÃO</v>
      </c>
      <c r="AB111" s="357" t="s">
        <v>18</v>
      </c>
      <c r="AC111" s="358">
        <f t="shared" si="14"/>
        <v>0</v>
      </c>
      <c r="AD111" s="358" t="b">
        <f t="shared" si="11"/>
        <v>0</v>
      </c>
      <c r="AE111" s="342">
        <f t="shared" si="15"/>
        <v>0</v>
      </c>
    </row>
    <row r="112" spans="2:32">
      <c r="D112" s="343">
        <f>SUM(D3:D111)</f>
        <v>4.1527777777777795</v>
      </c>
      <c r="E112" s="343">
        <f>SUM(E3:E111)</f>
        <v>0</v>
      </c>
      <c r="F112" s="343">
        <f>SUM(F3:F111)</f>
        <v>0.77083333333333348</v>
      </c>
      <c r="G112" s="343">
        <f>SUM(G3:G111)</f>
        <v>1.4340277777777783</v>
      </c>
      <c r="AB112" s="357"/>
      <c r="AC112" s="383">
        <f>SUM(AC3:AC111)</f>
        <v>3.6875000000000009</v>
      </c>
      <c r="AD112" s="383">
        <f>SUM(AD3:AD111)</f>
        <v>1.1597222222222223</v>
      </c>
    </row>
    <row r="113" spans="1:28"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  <c r="AA113" s="369"/>
      <c r="AB113" s="369"/>
    </row>
    <row r="114" spans="1:28"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369"/>
      <c r="W114" s="369"/>
      <c r="X114" s="369"/>
      <c r="Y114" s="369"/>
      <c r="Z114" s="369"/>
      <c r="AA114" s="369"/>
      <c r="AB114" s="369"/>
    </row>
    <row r="116" spans="1:28">
      <c r="A116" s="384" t="s">
        <v>609</v>
      </c>
      <c r="B116" s="385" t="s">
        <v>610</v>
      </c>
    </row>
    <row r="117" spans="1:28">
      <c r="A117" s="386" t="s">
        <v>611</v>
      </c>
      <c r="B117" s="387">
        <v>11.9583333333333</v>
      </c>
      <c r="C117" s="388" t="s">
        <v>612</v>
      </c>
    </row>
    <row r="118" spans="1:28">
      <c r="A118" s="386" t="s">
        <v>613</v>
      </c>
      <c r="B118" s="387">
        <v>9.375</v>
      </c>
      <c r="C118" s="388" t="s">
        <v>614</v>
      </c>
    </row>
    <row r="119" spans="1:28">
      <c r="A119" s="386" t="s">
        <v>615</v>
      </c>
      <c r="B119" s="387">
        <f>SUM(D112:F112)</f>
        <v>4.9236111111111125</v>
      </c>
      <c r="C119" s="388" t="s">
        <v>612</v>
      </c>
    </row>
    <row r="120" spans="1:28">
      <c r="A120" s="386" t="s">
        <v>616</v>
      </c>
      <c r="B120" s="387">
        <v>1.6840277777777799</v>
      </c>
      <c r="C120" s="388" t="s">
        <v>614</v>
      </c>
    </row>
  </sheetData>
  <autoFilter ref="A1:AD112" xr:uid="{00000000-0009-0000-0000-000004000000}"/>
  <mergeCells count="48">
    <mergeCell ref="A6:A8"/>
    <mergeCell ref="D6:D8"/>
    <mergeCell ref="E6:E8"/>
    <mergeCell ref="F6:F8"/>
    <mergeCell ref="G6:G8"/>
    <mergeCell ref="G10:G11"/>
    <mergeCell ref="B12:B14"/>
    <mergeCell ref="C12:C14"/>
    <mergeCell ref="D12:D14"/>
    <mergeCell ref="E12:E14"/>
    <mergeCell ref="F12:F14"/>
    <mergeCell ref="G12:G14"/>
    <mergeCell ref="B10:B11"/>
    <mergeCell ref="C10:C11"/>
    <mergeCell ref="D10:D11"/>
    <mergeCell ref="E10:E11"/>
    <mergeCell ref="F10:F11"/>
    <mergeCell ref="G19:G21"/>
    <mergeCell ref="B25:B26"/>
    <mergeCell ref="C25:C26"/>
    <mergeCell ref="D25:D26"/>
    <mergeCell ref="E25:E26"/>
    <mergeCell ref="F25:F26"/>
    <mergeCell ref="G25:G26"/>
    <mergeCell ref="B19:B21"/>
    <mergeCell ref="C19:C21"/>
    <mergeCell ref="D19:D21"/>
    <mergeCell ref="E19:E21"/>
    <mergeCell ref="F19:F21"/>
    <mergeCell ref="A28:A30"/>
    <mergeCell ref="D28:D30"/>
    <mergeCell ref="E28:E30"/>
    <mergeCell ref="F28:F30"/>
    <mergeCell ref="G28:G30"/>
    <mergeCell ref="D37:D40"/>
    <mergeCell ref="E37:E40"/>
    <mergeCell ref="F37:F40"/>
    <mergeCell ref="G37:G40"/>
    <mergeCell ref="A63:A65"/>
    <mergeCell ref="D63:D65"/>
    <mergeCell ref="E63:E65"/>
    <mergeCell ref="F63:F65"/>
    <mergeCell ref="G63:G65"/>
    <mergeCell ref="A69:A75"/>
    <mergeCell ref="D69:D75"/>
    <mergeCell ref="E69:E75"/>
    <mergeCell ref="F69:F75"/>
    <mergeCell ref="G69:G75"/>
  </mergeCells>
  <conditionalFormatting sqref="D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2:G111">
    <cfRule type="cellIs" priority="109" operator="equal">
      <formula>"OP"</formula>
    </cfRule>
    <cfRule type="cellIs" priority="110" operator="equal">
      <formula>"NÃO"</formula>
    </cfRule>
    <cfRule type="cellIs" priority="111" operator="equal">
      <formula>"SIM"</formula>
    </cfRule>
  </conditionalFormatting>
  <conditionalFormatting sqref="H33:H34">
    <cfRule type="cellIs" dxfId="142" priority="41" operator="equal">
      <formula>"OP"</formula>
    </cfRule>
    <cfRule type="cellIs" dxfId="141" priority="42" operator="equal">
      <formula>"NÃO"</formula>
    </cfRule>
    <cfRule type="cellIs" dxfId="140" priority="43" operator="equal">
      <formula>"SIM"</formula>
    </cfRule>
  </conditionalFormatting>
  <conditionalFormatting sqref="H9:J15 L69:N77">
    <cfRule type="cellIs" priority="118" operator="equal">
      <formula>"OP"</formula>
    </cfRule>
    <cfRule type="cellIs" priority="119" operator="equal">
      <formula>"NÃO"</formula>
    </cfRule>
    <cfRule type="cellIs" priority="120" operator="equal">
      <formula>"SIM"</formula>
    </cfRule>
  </conditionalFormatting>
  <conditionalFormatting sqref="H40:J111">
    <cfRule type="cellIs" dxfId="139" priority="20" operator="equal">
      <formula>"OP"</formula>
    </cfRule>
    <cfRule type="cellIs" dxfId="138" priority="21" operator="equal">
      <formula>"NÃO"</formula>
    </cfRule>
    <cfRule type="cellIs" dxfId="137" priority="22" operator="equal">
      <formula>"SIM"</formula>
    </cfRule>
  </conditionalFormatting>
  <conditionalFormatting sqref="H8:K17">
    <cfRule type="cellIs" dxfId="136" priority="115" operator="equal">
      <formula>"OP"</formula>
    </cfRule>
    <cfRule type="cellIs" dxfId="135" priority="116" operator="equal">
      <formula>"NÃO"</formula>
    </cfRule>
    <cfRule type="cellIs" dxfId="134" priority="117" operator="equal">
      <formula>"SIM"</formula>
    </cfRule>
  </conditionalFormatting>
  <conditionalFormatting sqref="H25:K39">
    <cfRule type="cellIs" dxfId="133" priority="92" operator="equal">
      <formula>"OP"</formula>
    </cfRule>
    <cfRule type="cellIs" dxfId="132" priority="93" operator="equal">
      <formula>"NÃO"</formula>
    </cfRule>
    <cfRule type="cellIs" dxfId="131" priority="94" operator="equal">
      <formula>"SIM"</formula>
    </cfRule>
  </conditionalFormatting>
  <conditionalFormatting sqref="H64:K111">
    <cfRule type="cellIs" dxfId="130" priority="11" operator="equal">
      <formula>"OP"</formula>
    </cfRule>
    <cfRule type="cellIs" dxfId="129" priority="12" operator="equal">
      <formula>"NÃO"</formula>
    </cfRule>
    <cfRule type="cellIs" dxfId="128" priority="13" operator="equal">
      <formula>"SIM"</formula>
    </cfRule>
  </conditionalFormatting>
  <conditionalFormatting sqref="H55:U68">
    <cfRule type="cellIs" dxfId="127" priority="14" operator="equal">
      <formula>"OP"</formula>
    </cfRule>
    <cfRule type="cellIs" dxfId="126" priority="15" operator="equal">
      <formula>"NÃO"</formula>
    </cfRule>
    <cfRule type="cellIs" dxfId="125" priority="16" operator="equal">
      <formula>"SIM"</formula>
    </cfRule>
  </conditionalFormatting>
  <conditionalFormatting sqref="H68:AA111 AB68:AB112">
    <cfRule type="cellIs" dxfId="124" priority="104" operator="equal">
      <formula>"NÃO"</formula>
    </cfRule>
    <cfRule type="cellIs" dxfId="123" priority="105" operator="equal">
      <formula>"SIM"</formula>
    </cfRule>
  </conditionalFormatting>
  <conditionalFormatting sqref="H3:AB5">
    <cfRule type="cellIs" dxfId="122" priority="34" operator="equal">
      <formula>"OP"</formula>
    </cfRule>
    <cfRule type="cellIs" dxfId="121" priority="35" operator="equal">
      <formula>"NÃO"</formula>
    </cfRule>
    <cfRule type="cellIs" dxfId="120" priority="36" operator="equal">
      <formula>"SIM"</formula>
    </cfRule>
  </conditionalFormatting>
  <conditionalFormatting sqref="H3:AB67">
    <cfRule type="cellIs" dxfId="119" priority="23" operator="equal">
      <formula>"NÃO"</formula>
    </cfRule>
    <cfRule type="cellIs" dxfId="118" priority="24" operator="equal">
      <formula>"SIM"</formula>
    </cfRule>
  </conditionalFormatting>
  <conditionalFormatting sqref="H31:AB31">
    <cfRule type="cellIs" dxfId="117" priority="37" operator="equal">
      <formula>"OP"</formula>
    </cfRule>
    <cfRule type="cellIs" dxfId="116" priority="38" operator="equal">
      <formula>"NÃO"</formula>
    </cfRule>
    <cfRule type="cellIs" dxfId="115" priority="39" operator="equal">
      <formula>"SIM"</formula>
    </cfRule>
  </conditionalFormatting>
  <conditionalFormatting sqref="H41:AB41">
    <cfRule type="cellIs" dxfId="114" priority="71" operator="equal">
      <formula>"OP"</formula>
    </cfRule>
    <cfRule type="cellIs" dxfId="113" priority="72" operator="equal">
      <formula>"NÃO"</formula>
    </cfRule>
    <cfRule type="cellIs" dxfId="112" priority="73" operator="equal">
      <formula>"SIM"</formula>
    </cfRule>
  </conditionalFormatting>
  <conditionalFormatting sqref="I34:J36">
    <cfRule type="cellIs" dxfId="111" priority="112" operator="equal">
      <formula>"OP"</formula>
    </cfRule>
    <cfRule type="cellIs" dxfId="110" priority="113" operator="equal">
      <formula>"NÃO"</formula>
    </cfRule>
    <cfRule type="cellIs" dxfId="109" priority="114" operator="equal">
      <formula>"SIM"</formula>
    </cfRule>
  </conditionalFormatting>
  <conditionalFormatting sqref="I32:K39">
    <cfRule type="cellIs" dxfId="108" priority="68" operator="equal">
      <formula>"OP"</formula>
    </cfRule>
    <cfRule type="cellIs" dxfId="107" priority="69" operator="equal">
      <formula>"NÃO"</formula>
    </cfRule>
    <cfRule type="cellIs" dxfId="106" priority="70" operator="equal">
      <formula>"SIM"</formula>
    </cfRule>
  </conditionalFormatting>
  <conditionalFormatting sqref="I45:U57">
    <cfRule type="cellIs" dxfId="105" priority="56" operator="equal">
      <formula>"OP"</formula>
    </cfRule>
    <cfRule type="cellIs" dxfId="104" priority="57" operator="equal">
      <formula>"NÃO"</formula>
    </cfRule>
    <cfRule type="cellIs" dxfId="103" priority="58" operator="equal">
      <formula>"SIM"</formula>
    </cfRule>
  </conditionalFormatting>
  <conditionalFormatting sqref="J3:J43">
    <cfRule type="cellIs" dxfId="102" priority="95" operator="equal">
      <formula>"OP"</formula>
    </cfRule>
    <cfRule type="cellIs" dxfId="101" priority="96" operator="equal">
      <formula>"NÃO"</formula>
    </cfRule>
    <cfRule type="cellIs" dxfId="100" priority="97" operator="equal">
      <formula>"SIM"</formula>
    </cfRule>
  </conditionalFormatting>
  <conditionalFormatting sqref="J24:K30">
    <cfRule type="cellIs" dxfId="99" priority="101" operator="equal">
      <formula>"OP"</formula>
    </cfRule>
    <cfRule type="cellIs" dxfId="98" priority="102" operator="equal">
      <formula>"NÃO"</formula>
    </cfRule>
    <cfRule type="cellIs" dxfId="97" priority="103" operator="equal">
      <formula>"SIM"</formula>
    </cfRule>
  </conditionalFormatting>
  <conditionalFormatting sqref="J40:K56">
    <cfRule type="cellIs" dxfId="96" priority="59" operator="equal">
      <formula>"OP"</formula>
    </cfRule>
    <cfRule type="cellIs" dxfId="95" priority="60" operator="equal">
      <formula>"NÃO"</formula>
    </cfRule>
    <cfRule type="cellIs" dxfId="94" priority="61" operator="equal">
      <formula>"SIM"</formula>
    </cfRule>
  </conditionalFormatting>
  <conditionalFormatting sqref="K69:K78 O69:O79 L78:M78 N78:N79 K79:M79">
    <cfRule type="cellIs" dxfId="93" priority="142" operator="equal">
      <formula>"OP"</formula>
    </cfRule>
    <cfRule type="cellIs" dxfId="92" priority="143" operator="equal">
      <formula>"NÃO"</formula>
    </cfRule>
    <cfRule type="cellIs" dxfId="91" priority="144" operator="equal">
      <formula>"SIM"</formula>
    </cfRule>
  </conditionalFormatting>
  <conditionalFormatting sqref="K29:L53">
    <cfRule type="cellIs" dxfId="90" priority="62" operator="equal">
      <formula>"OP"</formula>
    </cfRule>
    <cfRule type="cellIs" dxfId="89" priority="63" operator="equal">
      <formula>"NÃO"</formula>
    </cfRule>
    <cfRule type="cellIs" dxfId="88" priority="64" operator="equal">
      <formula>"SIM"</formula>
    </cfRule>
  </conditionalFormatting>
  <conditionalFormatting sqref="K68:O68">
    <cfRule type="cellIs" dxfId="87" priority="139" operator="equal">
      <formula>"OP"</formula>
    </cfRule>
    <cfRule type="cellIs" dxfId="86" priority="140" operator="equal">
      <formula>"NÃO"</formula>
    </cfRule>
    <cfRule type="cellIs" dxfId="85" priority="141" operator="equal">
      <formula>"SIM"</formula>
    </cfRule>
  </conditionalFormatting>
  <conditionalFormatting sqref="K80:O111">
    <cfRule type="cellIs" dxfId="84" priority="145" operator="equal">
      <formula>"OP"</formula>
    </cfRule>
    <cfRule type="cellIs" dxfId="83" priority="146" operator="equal">
      <formula>"NÃO"</formula>
    </cfRule>
    <cfRule type="cellIs" dxfId="82" priority="147" operator="equal">
      <formula>"SIM"</formula>
    </cfRule>
  </conditionalFormatting>
  <conditionalFormatting sqref="K54:P54">
    <cfRule type="cellIs" dxfId="81" priority="136" operator="equal">
      <formula>"OP"</formula>
    </cfRule>
    <cfRule type="cellIs" dxfId="80" priority="137" operator="equal">
      <formula>"NÃO"</formula>
    </cfRule>
    <cfRule type="cellIs" dxfId="79" priority="138" operator="equal">
      <formula>"SIM"</formula>
    </cfRule>
  </conditionalFormatting>
  <conditionalFormatting sqref="K55:U67">
    <cfRule type="cellIs" dxfId="78" priority="28" operator="equal">
      <formula>"OP"</formula>
    </cfRule>
    <cfRule type="cellIs" dxfId="77" priority="29" operator="equal">
      <formula>"NÃO"</formula>
    </cfRule>
    <cfRule type="cellIs" dxfId="76" priority="30" operator="equal">
      <formula>"SIM"</formula>
    </cfRule>
  </conditionalFormatting>
  <conditionalFormatting sqref="K40:V43">
    <cfRule type="cellIs" dxfId="75" priority="77" operator="equal">
      <formula>"OP"</formula>
    </cfRule>
    <cfRule type="cellIs" dxfId="74" priority="78" operator="equal">
      <formula>"NÃO"</formula>
    </cfRule>
    <cfRule type="cellIs" dxfId="73" priority="79" operator="equal">
      <formula>"SIM"</formula>
    </cfRule>
  </conditionalFormatting>
  <conditionalFormatting sqref="K3:AB23">
    <cfRule type="cellIs" dxfId="72" priority="121" operator="equal">
      <formula>"OP"</formula>
    </cfRule>
    <cfRule type="cellIs" dxfId="71" priority="122" operator="equal">
      <formula>"NÃO"</formula>
    </cfRule>
    <cfRule type="cellIs" dxfId="70" priority="123" operator="equal">
      <formula>"SIM"</formula>
    </cfRule>
  </conditionalFormatting>
  <conditionalFormatting sqref="L24:AB33 N34:Q39">
    <cfRule type="cellIs" dxfId="69" priority="124" operator="equal">
      <formula>"OP"</formula>
    </cfRule>
    <cfRule type="cellIs" dxfId="68" priority="125" operator="equal">
      <formula>"NÃO"</formula>
    </cfRule>
    <cfRule type="cellIs" dxfId="67" priority="126" operator="equal">
      <formula>"SIM"</formula>
    </cfRule>
  </conditionalFormatting>
  <conditionalFormatting sqref="M32:M39">
    <cfRule type="cellIs" dxfId="66" priority="65" operator="equal">
      <formula>"OP"</formula>
    </cfRule>
    <cfRule type="cellIs" dxfId="65" priority="66" operator="equal">
      <formula>"NÃO"</formula>
    </cfRule>
    <cfRule type="cellIs" dxfId="64" priority="67" operator="equal">
      <formula>"SIM"</formula>
    </cfRule>
  </conditionalFormatting>
  <conditionalFormatting sqref="M44">
    <cfRule type="cellIs" dxfId="63" priority="53" operator="equal">
      <formula>"OP"</formula>
    </cfRule>
    <cfRule type="cellIs" dxfId="62" priority="54" operator="equal">
      <formula>"NÃO"</formula>
    </cfRule>
    <cfRule type="cellIs" dxfId="61" priority="55" operator="equal">
      <formula>"SIM"</formula>
    </cfRule>
  </conditionalFormatting>
  <conditionalFormatting sqref="M44:P53 L46 Q46:V46">
    <cfRule type="cellIs" dxfId="60" priority="133" operator="equal">
      <formula>"OP"</formula>
    </cfRule>
    <cfRule type="cellIs" dxfId="59" priority="134" operator="equal">
      <formula>"NÃO"</formula>
    </cfRule>
    <cfRule type="cellIs" dxfId="58" priority="135" operator="equal">
      <formula>"SIM"</formula>
    </cfRule>
  </conditionalFormatting>
  <conditionalFormatting sqref="M27:U31">
    <cfRule type="cellIs" dxfId="57" priority="98" operator="equal">
      <formula>"OP"</formula>
    </cfRule>
    <cfRule type="cellIs" dxfId="56" priority="99" operator="equal">
      <formula>"NÃO"</formula>
    </cfRule>
    <cfRule type="cellIs" dxfId="55" priority="100" operator="equal">
      <formula>"SIM"</formula>
    </cfRule>
  </conditionalFormatting>
  <conditionalFormatting sqref="M68:U111">
    <cfRule type="cellIs" dxfId="54" priority="44" operator="equal">
      <formula>"OP"</formula>
    </cfRule>
    <cfRule type="cellIs" dxfId="53" priority="45" operator="equal">
      <formula>"NÃO"</formula>
    </cfRule>
    <cfRule type="cellIs" dxfId="52" priority="46" operator="equal">
      <formula>"SIM"</formula>
    </cfRule>
  </conditionalFormatting>
  <conditionalFormatting sqref="N33:P33">
    <cfRule type="cellIs" dxfId="51" priority="83" operator="equal">
      <formula>"OP"</formula>
    </cfRule>
    <cfRule type="cellIs" dxfId="50" priority="84" operator="equal">
      <formula>"NÃO"</formula>
    </cfRule>
    <cfRule type="cellIs" dxfId="49" priority="85" operator="equal">
      <formula>"SIM"</formula>
    </cfRule>
  </conditionalFormatting>
  <conditionalFormatting sqref="N34:U45">
    <cfRule type="cellIs" dxfId="48" priority="80" operator="equal">
      <formula>"OP"</formula>
    </cfRule>
    <cfRule type="cellIs" dxfId="47" priority="81" operator="equal">
      <formula>"NÃO"</formula>
    </cfRule>
    <cfRule type="cellIs" dxfId="46" priority="82" operator="equal">
      <formula>"SIM"</formula>
    </cfRule>
  </conditionalFormatting>
  <conditionalFormatting sqref="N32:V32">
    <cfRule type="cellIs" dxfId="45" priority="89" operator="equal">
      <formula>"OP"</formula>
    </cfRule>
    <cfRule type="cellIs" dxfId="44" priority="90" operator="equal">
      <formula>"NÃO"</formula>
    </cfRule>
    <cfRule type="cellIs" dxfId="43" priority="91" operator="equal">
      <formula>"SIM"</formula>
    </cfRule>
  </conditionalFormatting>
  <conditionalFormatting sqref="Q44:U54">
    <cfRule type="cellIs" dxfId="42" priority="148" operator="equal">
      <formula>"OP"</formula>
    </cfRule>
    <cfRule type="cellIs" dxfId="41" priority="149" operator="equal">
      <formula>"NÃO"</formula>
    </cfRule>
    <cfRule type="cellIs" dxfId="40" priority="150" operator="equal">
      <formula>"SIM"</formula>
    </cfRule>
  </conditionalFormatting>
  <conditionalFormatting sqref="R33:U39">
    <cfRule type="cellIs" dxfId="39" priority="86" operator="equal">
      <formula>"OP"</formula>
    </cfRule>
    <cfRule type="cellIs" dxfId="38" priority="87" operator="equal">
      <formula>"NÃO"</formula>
    </cfRule>
    <cfRule type="cellIs" dxfId="37" priority="88" operator="equal">
      <formula>"SIM"</formula>
    </cfRule>
  </conditionalFormatting>
  <conditionalFormatting sqref="V34:V39">
    <cfRule type="cellIs" dxfId="36" priority="127" operator="equal">
      <formula>"OP"</formula>
    </cfRule>
    <cfRule type="cellIs" dxfId="35" priority="128" operator="equal">
      <formula>"NÃO"</formula>
    </cfRule>
    <cfRule type="cellIs" dxfId="34" priority="129" operator="equal">
      <formula>"SIM"</formula>
    </cfRule>
  </conditionalFormatting>
  <conditionalFormatting sqref="V44:V111">
    <cfRule type="cellIs" dxfId="33" priority="17" operator="equal">
      <formula>"OP"</formula>
    </cfRule>
    <cfRule type="cellIs" dxfId="32" priority="18" operator="equal">
      <formula>"NÃO"</formula>
    </cfRule>
    <cfRule type="cellIs" dxfId="31" priority="19" operator="equal">
      <formula>"SIM"</formula>
    </cfRule>
  </conditionalFormatting>
  <conditionalFormatting sqref="V37:AB43">
    <cfRule type="cellIs" dxfId="30" priority="74" operator="equal">
      <formula>"OP"</formula>
    </cfRule>
    <cfRule type="cellIs" dxfId="29" priority="75" operator="equal">
      <formula>"NÃO"</formula>
    </cfRule>
    <cfRule type="cellIs" dxfId="28" priority="76" operator="equal">
      <formula>"SIM"</formula>
    </cfRule>
  </conditionalFormatting>
  <conditionalFormatting sqref="V47:AB51">
    <cfRule type="cellIs" dxfId="27" priority="50" operator="equal">
      <formula>"OP"</formula>
    </cfRule>
    <cfRule type="cellIs" dxfId="26" priority="51" operator="equal">
      <formula>"NÃO"</formula>
    </cfRule>
    <cfRule type="cellIs" dxfId="25" priority="52" operator="equal">
      <formula>"SIM"</formula>
    </cfRule>
  </conditionalFormatting>
  <conditionalFormatting sqref="W62:W78">
    <cfRule type="cellIs" dxfId="24" priority="25" operator="equal">
      <formula>"OP"</formula>
    </cfRule>
    <cfRule type="cellIs" dxfId="23" priority="26" operator="equal">
      <formula>"NÃO"</formula>
    </cfRule>
    <cfRule type="cellIs" dxfId="22" priority="27" operator="equal">
      <formula>"SIM"</formula>
    </cfRule>
  </conditionalFormatting>
  <conditionalFormatting sqref="W57:Y111">
    <cfRule type="cellIs" dxfId="21" priority="8" operator="equal">
      <formula>"OP"</formula>
    </cfRule>
    <cfRule type="cellIs" dxfId="20" priority="9" operator="equal">
      <formula>"NÃO"</formula>
    </cfRule>
    <cfRule type="cellIs" dxfId="19" priority="10" operator="equal">
      <formula>"SIM"</formula>
    </cfRule>
  </conditionalFormatting>
  <conditionalFormatting sqref="W79:AA111">
    <cfRule type="cellIs" dxfId="18" priority="151" operator="equal">
      <formula>"OP"</formula>
    </cfRule>
    <cfRule type="cellIs" dxfId="17" priority="152" operator="equal">
      <formula>"NÃO"</formula>
    </cfRule>
    <cfRule type="cellIs" dxfId="16" priority="153" operator="equal">
      <formula>"SIM"</formula>
    </cfRule>
  </conditionalFormatting>
  <conditionalFormatting sqref="W27:AB56 W57:AA57">
    <cfRule type="cellIs" dxfId="15" priority="47" operator="equal">
      <formula>"OP"</formula>
    </cfRule>
    <cfRule type="cellIs" dxfId="14" priority="48" operator="equal">
      <formula>"NÃO"</formula>
    </cfRule>
    <cfRule type="cellIs" dxfId="13" priority="49" operator="equal">
      <formula>"SIM"</formula>
    </cfRule>
  </conditionalFormatting>
  <conditionalFormatting sqref="X62:Y62">
    <cfRule type="cellIs" dxfId="12" priority="106" operator="equal">
      <formula>"OP"</formula>
    </cfRule>
    <cfRule type="cellIs" dxfId="11" priority="107" operator="equal">
      <formula>"NÃO"</formula>
    </cfRule>
    <cfRule type="cellIs" dxfId="10" priority="108" operator="equal">
      <formula>"SIM"</formula>
    </cfRule>
  </conditionalFormatting>
  <conditionalFormatting sqref="X63:AA78">
    <cfRule type="cellIs" dxfId="9" priority="31" operator="equal">
      <formula>"OP"</formula>
    </cfRule>
    <cfRule type="cellIs" dxfId="8" priority="32" operator="equal">
      <formula>"NÃO"</formula>
    </cfRule>
    <cfRule type="cellIs" dxfId="7" priority="33" operator="equal">
      <formula>"SIM"</formula>
    </cfRule>
  </conditionalFormatting>
  <conditionalFormatting sqref="Z57:AA62">
    <cfRule type="cellIs" dxfId="6" priority="130" operator="equal">
      <formula>"OP"</formula>
    </cfRule>
    <cfRule type="cellIs" dxfId="5" priority="131" operator="equal">
      <formula>"NÃO"</formula>
    </cfRule>
    <cfRule type="cellIs" dxfId="4" priority="132" operator="equal">
      <formula>"SIM"</formula>
    </cfRule>
  </conditionalFormatting>
  <conditionalFormatting sqref="AB57:AB112">
    <cfRule type="cellIs" dxfId="3" priority="5" operator="equal">
      <formula>"OP"</formula>
    </cfRule>
    <cfRule type="cellIs" dxfId="2" priority="6" operator="equal">
      <formula>"NÃO"</formula>
    </cfRule>
    <cfRule type="cellIs" dxfId="1" priority="7" operator="equal">
      <formula>"SIM"</formula>
    </cfRule>
  </conditionalFormatting>
  <conditionalFormatting sqref="AF25">
    <cfRule type="cellIs" dxfId="0" priority="40" operator="greaterThan">
      <formula>0</formula>
    </cfRule>
  </conditionalFormatting>
  <dataValidations count="1">
    <dataValidation type="list" allowBlank="1" showInputMessage="1" showErrorMessage="1" sqref="H3:AB111 AB112" xr:uid="{00000000-0002-0000-0400-000000000000}">
      <formula1>"SIM,NÃO,OP"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zoomScale="90" zoomScaleNormal="90" workbookViewId="0">
      <selection activeCell="A15" sqref="A15"/>
    </sheetView>
  </sheetViews>
  <sheetFormatPr defaultColWidth="8.7109375" defaultRowHeight="15"/>
  <cols>
    <col min="1" max="1" width="49.42578125" customWidth="1"/>
    <col min="2" max="2" width="4.5703125" customWidth="1"/>
    <col min="3" max="3" width="8.28515625" customWidth="1"/>
    <col min="4" max="4" width="23.5703125" customWidth="1"/>
    <col min="6" max="6" width="26.5703125" style="389" customWidth="1"/>
    <col min="7" max="7" width="11.5703125" style="389" customWidth="1"/>
    <col min="8" max="8" width="16.5703125" customWidth="1"/>
  </cols>
  <sheetData>
    <row r="1" spans="1:8">
      <c r="A1" s="390" t="s">
        <v>617</v>
      </c>
      <c r="D1" s="390" t="s">
        <v>618</v>
      </c>
      <c r="F1" s="390" t="s">
        <v>619</v>
      </c>
      <c r="G1" s="390" t="s">
        <v>620</v>
      </c>
      <c r="H1" s="390" t="s">
        <v>621</v>
      </c>
    </row>
    <row r="2" spans="1:8">
      <c r="A2" s="391" t="s">
        <v>11</v>
      </c>
      <c r="D2" s="392" t="s">
        <v>14</v>
      </c>
      <c r="F2" s="392" t="s">
        <v>622</v>
      </c>
      <c r="G2" s="392">
        <v>24</v>
      </c>
      <c r="H2" s="393">
        <v>1</v>
      </c>
    </row>
    <row r="3" spans="1:8">
      <c r="A3" s="391" t="s">
        <v>623</v>
      </c>
      <c r="D3" s="392" t="str">
        <f>IF(Resumo!C5="ALIARE - AGB","Integração (antiga)","API customizada ERP ")</f>
        <v xml:space="preserve">API customizada ERP </v>
      </c>
      <c r="F3" s="392" t="s">
        <v>624</v>
      </c>
      <c r="G3" s="392">
        <v>25</v>
      </c>
      <c r="H3" s="393">
        <v>2</v>
      </c>
    </row>
    <row r="4" spans="1:8">
      <c r="A4" s="391" t="s">
        <v>625</v>
      </c>
      <c r="D4" s="392" t="s">
        <v>626</v>
      </c>
    </row>
    <row r="5" spans="1:8">
      <c r="A5" s="391" t="s">
        <v>627</v>
      </c>
    </row>
    <row r="6" spans="1:8">
      <c r="A6" s="391" t="s">
        <v>628</v>
      </c>
    </row>
    <row r="7" spans="1:8">
      <c r="A7" s="391" t="s">
        <v>629</v>
      </c>
    </row>
    <row r="8" spans="1:8">
      <c r="A8" s="391" t="s">
        <v>630</v>
      </c>
    </row>
    <row r="9" spans="1:8">
      <c r="A9" s="391" t="s">
        <v>631</v>
      </c>
    </row>
    <row r="10" spans="1:8">
      <c r="A10" s="391" t="s">
        <v>632</v>
      </c>
    </row>
    <row r="11" spans="1:8">
      <c r="A11" s="391" t="s">
        <v>633</v>
      </c>
    </row>
    <row r="12" spans="1:8">
      <c r="A12" s="391" t="s">
        <v>634</v>
      </c>
    </row>
    <row r="13" spans="1:8">
      <c r="A13" s="391" t="s">
        <v>635</v>
      </c>
    </row>
    <row r="14" spans="1:8">
      <c r="A14" s="391" t="s">
        <v>636</v>
      </c>
    </row>
    <row r="15" spans="1:8">
      <c r="A15" s="391"/>
    </row>
    <row r="16" spans="1:8">
      <c r="A16" s="391"/>
    </row>
    <row r="17" spans="1:1">
      <c r="A17" s="391"/>
    </row>
    <row r="18" spans="1:1">
      <c r="A18" s="391"/>
    </row>
    <row r="19" spans="1:1">
      <c r="A19" s="391"/>
    </row>
    <row r="20" spans="1:1">
      <c r="A20" s="391"/>
    </row>
    <row r="21" spans="1:1">
      <c r="A21" s="391"/>
    </row>
    <row r="22" spans="1:1">
      <c r="A22" s="391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EEBF7"/>
  </sheetPr>
  <dimension ref="A1:H45"/>
  <sheetViews>
    <sheetView zoomScale="90" zoomScaleNormal="90" workbookViewId="0">
      <selection activeCell="F2" sqref="F2"/>
    </sheetView>
  </sheetViews>
  <sheetFormatPr defaultColWidth="8.5703125" defaultRowHeight="15"/>
  <cols>
    <col min="1" max="1" width="89.7109375" customWidth="1"/>
    <col min="2" max="2" width="10.5703125" customWidth="1"/>
    <col min="3" max="3" width="19.42578125" customWidth="1"/>
    <col min="4" max="4" width="21.7109375" customWidth="1"/>
    <col min="5" max="5" width="35.140625" customWidth="1"/>
    <col min="6" max="6" width="44.85546875" customWidth="1"/>
    <col min="7" max="7" width="68.5703125" customWidth="1"/>
    <col min="8" max="8" width="26.85546875" customWidth="1"/>
    <col min="9" max="9" width="28" customWidth="1"/>
    <col min="10" max="10" width="23.28515625" customWidth="1"/>
    <col min="11" max="11" width="17" customWidth="1"/>
  </cols>
  <sheetData>
    <row r="1" spans="1:8">
      <c r="A1" s="394" t="s">
        <v>637</v>
      </c>
      <c r="B1" s="394" t="s">
        <v>638</v>
      </c>
      <c r="C1" s="394" t="s">
        <v>639</v>
      </c>
      <c r="D1" s="395" t="s">
        <v>640</v>
      </c>
      <c r="E1" s="396" t="s">
        <v>641</v>
      </c>
      <c r="F1" s="396" t="s">
        <v>642</v>
      </c>
      <c r="G1" s="396" t="s">
        <v>643</v>
      </c>
    </row>
    <row r="2" spans="1:8" ht="45" customHeight="1">
      <c r="A2" s="397" t="s">
        <v>478</v>
      </c>
      <c r="B2" s="397" t="s">
        <v>644</v>
      </c>
      <c r="C2" s="397" t="s">
        <v>204</v>
      </c>
      <c r="D2" s="395" t="str">
        <f>IF(AND(Funcionalidades!$A$4="X", Funcionalidades!$D$55="X"), "SIM", "NÃO")</f>
        <v>SIM</v>
      </c>
      <c r="E2" s="398" t="s">
        <v>645</v>
      </c>
      <c r="F2" s="399"/>
      <c r="G2" s="400" t="s">
        <v>646</v>
      </c>
    </row>
    <row r="3" spans="1:8">
      <c r="A3" s="401" t="s">
        <v>573</v>
      </c>
      <c r="B3" s="401" t="s">
        <v>644</v>
      </c>
      <c r="C3" s="401"/>
      <c r="D3" s="395" t="str">
        <f>IF(AND(Funcionalidades!$A$4="X", Funcionalidades!$D$20="X"), "SIM", "NÃO")</f>
        <v>NÃO</v>
      </c>
      <c r="E3" s="398" t="s">
        <v>647</v>
      </c>
      <c r="F3" s="399">
        <v>0</v>
      </c>
      <c r="G3" s="402"/>
    </row>
    <row r="4" spans="1:8">
      <c r="A4" s="397" t="s">
        <v>493</v>
      </c>
      <c r="B4" s="397" t="s">
        <v>644</v>
      </c>
      <c r="C4" s="397" t="s">
        <v>204</v>
      </c>
      <c r="D4" s="395" t="str">
        <f>IF(AND(Funcionalidades!$A$4="X", Funcionalidades!$D$11="X"), "SIM", "NÃO")</f>
        <v>SIM</v>
      </c>
      <c r="E4" s="398" t="s">
        <v>648</v>
      </c>
      <c r="F4" s="399">
        <v>0</v>
      </c>
      <c r="G4" s="402"/>
    </row>
    <row r="5" spans="1:8">
      <c r="A5" s="397" t="s">
        <v>649</v>
      </c>
      <c r="B5" s="397" t="s">
        <v>644</v>
      </c>
      <c r="C5" s="397" t="s">
        <v>204</v>
      </c>
      <c r="D5" s="395" t="str">
        <f>IF(AND(Funcionalidades!$A$4="X", Funcionalidades!$D$4="X"), "SIM", "NÃO")</f>
        <v>SIM</v>
      </c>
      <c r="E5" s="398" t="s">
        <v>650</v>
      </c>
      <c r="F5" s="399">
        <v>0</v>
      </c>
      <c r="G5" s="402"/>
    </row>
    <row r="6" spans="1:8">
      <c r="A6" s="397" t="s">
        <v>516</v>
      </c>
      <c r="B6" s="397" t="s">
        <v>644</v>
      </c>
      <c r="C6" s="397" t="s">
        <v>204</v>
      </c>
      <c r="D6" s="395" t="str">
        <f>IF(AND(Funcionalidades!$A$4="X", Funcionalidades!$D$166="X"), "SIM", "NÃO")</f>
        <v>SIM</v>
      </c>
      <c r="E6" s="398" t="s">
        <v>651</v>
      </c>
      <c r="F6" s="399">
        <v>0</v>
      </c>
      <c r="G6" s="402"/>
    </row>
    <row r="7" spans="1:8">
      <c r="A7" s="401" t="s">
        <v>652</v>
      </c>
      <c r="B7" s="401" t="s">
        <v>653</v>
      </c>
      <c r="C7" s="401"/>
      <c r="D7" s="395" t="str">
        <f>IF(AND(Funcionalidades!$A$4="X", Funcionalidades!$D$165="X"), "SIM", "NÃO")</f>
        <v>SIM</v>
      </c>
      <c r="E7" s="398" t="s">
        <v>654</v>
      </c>
      <c r="F7" s="399">
        <v>0</v>
      </c>
      <c r="G7" s="398"/>
      <c r="H7" s="403"/>
    </row>
    <row r="8" spans="1:8">
      <c r="A8" s="401" t="s">
        <v>468</v>
      </c>
      <c r="B8" s="401" t="s">
        <v>644</v>
      </c>
      <c r="C8" s="401"/>
      <c r="D8" s="395" t="str">
        <f>IF(AND(Funcionalidades!$A$4="X", Funcionalidades!$D$167="X"), "SIM", "NÃO")</f>
        <v>SIM</v>
      </c>
      <c r="E8" s="401"/>
      <c r="F8" s="404"/>
      <c r="G8" s="401"/>
    </row>
    <row r="9" spans="1:8" ht="15.75" customHeight="1">
      <c r="A9" s="401" t="s">
        <v>541</v>
      </c>
      <c r="B9" s="401" t="s">
        <v>644</v>
      </c>
      <c r="C9" s="401"/>
      <c r="D9" s="395" t="s">
        <v>22</v>
      </c>
      <c r="E9" s="405" t="s">
        <v>655</v>
      </c>
      <c r="F9" s="401"/>
      <c r="G9" s="401"/>
    </row>
    <row r="10" spans="1:8" ht="15.75" customHeight="1">
      <c r="A10" s="401" t="s">
        <v>656</v>
      </c>
      <c r="B10" s="401" t="s">
        <v>644</v>
      </c>
      <c r="C10" s="401"/>
      <c r="D10" s="406" t="str">
        <f>IF(AND(Funcionalidades!$A$4="X", Funcionalidades!$D$167="X"), "SIM", "NÃO")</f>
        <v>SIM</v>
      </c>
      <c r="E10" s="405"/>
      <c r="F10" s="401"/>
      <c r="G10" s="401"/>
    </row>
    <row r="11" spans="1:8">
      <c r="A11" s="397" t="s">
        <v>657</v>
      </c>
      <c r="B11" s="397" t="s">
        <v>658</v>
      </c>
      <c r="C11" s="397" t="s">
        <v>204</v>
      </c>
      <c r="D11" s="395" t="str">
        <f>IF(AND(Funcionalidades!$A$4="X", Funcionalidades!$D$27="X"), "SIM", "NÃO")</f>
        <v>SIM</v>
      </c>
      <c r="E11" s="614" t="s">
        <v>659</v>
      </c>
      <c r="F11" s="614"/>
      <c r="G11" s="407" t="s">
        <v>660</v>
      </c>
      <c r="H11" s="408" t="s">
        <v>661</v>
      </c>
    </row>
    <row r="12" spans="1:8" ht="75" customHeight="1">
      <c r="A12" s="397" t="s">
        <v>450</v>
      </c>
      <c r="B12" s="397" t="s">
        <v>644</v>
      </c>
      <c r="C12" s="397" t="s">
        <v>204</v>
      </c>
      <c r="D12" s="395" t="str">
        <f>IF(AND(Funcionalidades!$A$4="X", Funcionalidades!$D$7="X"), "SIM", "NÃO")</f>
        <v>SIM</v>
      </c>
      <c r="E12" s="398" t="s">
        <v>662</v>
      </c>
      <c r="F12" s="399">
        <f>SUM(F2:F4)</f>
        <v>0</v>
      </c>
      <c r="G12" s="402">
        <f>IF(F12&lt;10000,0,IF(AND(F12&gt;=10000,F12&lt;50000),0.1,IF(AND(F12&gt;=50000,F12&lt;150000),0.2,IF(F12&gt;=150000,9999,1))))</f>
        <v>0</v>
      </c>
      <c r="H12" s="409" t="s">
        <v>663</v>
      </c>
    </row>
    <row r="13" spans="1:8" ht="90" customHeight="1">
      <c r="A13" s="397" t="s">
        <v>514</v>
      </c>
      <c r="B13" s="397" t="s">
        <v>644</v>
      </c>
      <c r="C13" s="397" t="s">
        <v>204</v>
      </c>
      <c r="D13" s="395" t="str">
        <f>IF(AND(Funcionalidades!$A$4="X", Funcionalidades!$D$21="X"), "SIM", "NÃO")</f>
        <v>NÃO</v>
      </c>
      <c r="E13" s="398" t="s">
        <v>664</v>
      </c>
      <c r="F13" s="399">
        <f>SUM(F5:F7)</f>
        <v>0</v>
      </c>
      <c r="G13" s="402">
        <f>IF(F13&lt;50000,0,IF(AND(F13&gt;=50000,F13&lt;150000),0.1,IF(AND(F13&gt;=150000,F13&lt;500000),0.2,IF(F13&gt;=500000,9999,1))))</f>
        <v>0</v>
      </c>
      <c r="H13" s="409" t="s">
        <v>665</v>
      </c>
    </row>
    <row r="14" spans="1:8">
      <c r="A14" s="397" t="s">
        <v>666</v>
      </c>
      <c r="B14" s="397" t="s">
        <v>658</v>
      </c>
      <c r="C14" s="397" t="s">
        <v>204</v>
      </c>
      <c r="D14" s="395" t="str">
        <f>IF(AND(Funcionalidades!$A$4="X", Funcionalidades!$D$16="X"), "SIM", "NÃO")</f>
        <v>SIM</v>
      </c>
      <c r="E14" s="614" t="s">
        <v>61</v>
      </c>
      <c r="F14" s="614"/>
      <c r="G14" s="407">
        <f>1+G13+G12</f>
        <v>1</v>
      </c>
      <c r="H14" s="409"/>
    </row>
    <row r="15" spans="1:8">
      <c r="A15" s="401" t="s">
        <v>571</v>
      </c>
      <c r="B15" s="401" t="s">
        <v>644</v>
      </c>
      <c r="C15" s="401"/>
      <c r="D15" s="395" t="str">
        <f>IF(AND(Funcionalidades!$A$4="X", Funcionalidades!$D$16="X"), "SIM", "NÃO")</f>
        <v>SIM</v>
      </c>
    </row>
    <row r="16" spans="1:8">
      <c r="A16" s="397" t="s">
        <v>476</v>
      </c>
      <c r="B16" s="397" t="s">
        <v>644</v>
      </c>
      <c r="C16" s="397" t="s">
        <v>204</v>
      </c>
      <c r="D16" s="395" t="str">
        <f>IF(AND(Funcionalidades!$A$4="X", Funcionalidades!$D$55="X"), "SIM", "NÃO")</f>
        <v>SIM</v>
      </c>
    </row>
    <row r="17" spans="1:4">
      <c r="A17" s="401" t="s">
        <v>667</v>
      </c>
      <c r="B17" s="401" t="s">
        <v>658</v>
      </c>
      <c r="C17" s="401"/>
      <c r="D17" s="395" t="str">
        <f>IF(AND(Funcionalidades!$A$4="X", Funcionalidades!$D$15="X"), "SIM", "NÃO")</f>
        <v>SIM</v>
      </c>
    </row>
    <row r="18" spans="1:4">
      <c r="A18" s="401" t="s">
        <v>668</v>
      </c>
      <c r="B18" s="401" t="s">
        <v>644</v>
      </c>
      <c r="C18" s="401"/>
      <c r="D18" s="395" t="s">
        <v>18</v>
      </c>
    </row>
    <row r="19" spans="1:4">
      <c r="A19" s="397" t="s">
        <v>497</v>
      </c>
      <c r="B19" s="397" t="s">
        <v>644</v>
      </c>
      <c r="C19" s="397" t="s">
        <v>204</v>
      </c>
      <c r="D19" s="395" t="str">
        <f>IF(AND(Funcionalidades!$A$4="X", Funcionalidades!$D$14="X"), "SIM", "NÃO")</f>
        <v>SIM</v>
      </c>
    </row>
    <row r="20" spans="1:4">
      <c r="A20" s="397" t="s">
        <v>499</v>
      </c>
      <c r="B20" s="397" t="s">
        <v>644</v>
      </c>
      <c r="C20" s="397" t="s">
        <v>204</v>
      </c>
      <c r="D20" s="395" t="str">
        <f>IF(AND(Funcionalidades!$A$4="X", Funcionalidades!$D$14="X"), "SIM", "NÃO")</f>
        <v>SIM</v>
      </c>
    </row>
    <row r="21" spans="1:4">
      <c r="A21" s="401" t="s">
        <v>669</v>
      </c>
      <c r="B21" s="401" t="s">
        <v>644</v>
      </c>
      <c r="C21" s="401"/>
      <c r="D21" s="395" t="str">
        <f>IF(AND(Funcionalidades!$A$4="X", Funcionalidades!$D$14="X"), "SIM", "NÃO")</f>
        <v>SIM</v>
      </c>
    </row>
    <row r="22" spans="1:4">
      <c r="A22" s="401" t="s">
        <v>465</v>
      </c>
      <c r="B22" s="401" t="s">
        <v>644</v>
      </c>
      <c r="C22" s="401"/>
      <c r="D22" s="395" t="str">
        <f>IF(AND(Funcionalidades!$A$4="X", Funcionalidades!$D$167="X"), "SIM", "NÃO")</f>
        <v>SIM</v>
      </c>
    </row>
    <row r="23" spans="1:4">
      <c r="A23" s="397" t="s">
        <v>495</v>
      </c>
      <c r="B23" s="397" t="s">
        <v>644</v>
      </c>
      <c r="C23" s="397" t="s">
        <v>204</v>
      </c>
      <c r="D23" s="395" t="str">
        <f>IF(AND(Funcionalidades!$A$4="X", Funcionalidades!$D$10="X"), "SIM", "NÃO")</f>
        <v>SIM</v>
      </c>
    </row>
    <row r="24" spans="1:4">
      <c r="A24" s="401" t="s">
        <v>526</v>
      </c>
      <c r="B24" s="401" t="s">
        <v>644</v>
      </c>
      <c r="C24" s="401"/>
      <c r="D24" s="395" t="str">
        <f>IF(AND(Funcionalidades!$A$143="X", Funcionalidades!$D$162="X"), "SIM", "NÃO")</f>
        <v>NÃO</v>
      </c>
    </row>
    <row r="25" spans="1:4">
      <c r="A25" s="397" t="s">
        <v>512</v>
      </c>
      <c r="B25" s="397" t="s">
        <v>644</v>
      </c>
      <c r="C25" s="397" t="s">
        <v>204</v>
      </c>
      <c r="D25" s="395" t="str">
        <f>IF(AND(Funcionalidades!$A$4="X", Funcionalidades!$D$21="X"), "SIM", "NÃO")</f>
        <v>NÃO</v>
      </c>
    </row>
    <row r="26" spans="1:4">
      <c r="A26" s="397" t="s">
        <v>454</v>
      </c>
      <c r="B26" s="397" t="s">
        <v>644</v>
      </c>
      <c r="C26" s="397" t="s">
        <v>204</v>
      </c>
      <c r="D26" s="395" t="str">
        <f>IF(AND(Funcionalidades!$A$4="X", Funcionalidades!$D$9="X"), "SIM", "NÃO")</f>
        <v>SIM</v>
      </c>
    </row>
    <row r="27" spans="1:4">
      <c r="A27" s="397" t="s">
        <v>670</v>
      </c>
      <c r="B27" s="397" t="s">
        <v>644</v>
      </c>
      <c r="C27" s="397" t="s">
        <v>204</v>
      </c>
      <c r="D27" s="395" t="str">
        <f>IF(AND(Funcionalidades!$A$4="X", Funcionalidades!$D$4="X", Funcionalidades!$D$16="X"), "SIM", "NÃO")</f>
        <v>SIM</v>
      </c>
    </row>
    <row r="28" spans="1:4">
      <c r="A28" s="401" t="s">
        <v>501</v>
      </c>
      <c r="B28" s="401" t="s">
        <v>644</v>
      </c>
      <c r="C28" s="401"/>
      <c r="D28" s="395" t="str">
        <f>IF(AND(Funcionalidades!$A$4="X", Funcionalidades!$D$42="X"), "SIM", "NÃO")</f>
        <v>SIM</v>
      </c>
    </row>
    <row r="29" spans="1:4">
      <c r="A29" s="397" t="s">
        <v>485</v>
      </c>
      <c r="B29" s="397" t="s">
        <v>644</v>
      </c>
      <c r="C29" s="397" t="s">
        <v>204</v>
      </c>
      <c r="D29" s="395" t="str">
        <f>IF(AND(Funcionalidades!$A$4="X", Funcionalidades!$D$36="X"), "SIM", "NÃO")</f>
        <v>SIM</v>
      </c>
    </row>
    <row r="30" spans="1:4">
      <c r="A30" s="401" t="s">
        <v>519</v>
      </c>
      <c r="B30" s="401" t="s">
        <v>644</v>
      </c>
      <c r="C30" s="401"/>
      <c r="D30" s="395" t="str">
        <f>IF(AND(Funcionalidades!$A$194="X", Funcionalidades!$D$197="X"), "SIM", "NÃO")</f>
        <v>NÃO</v>
      </c>
    </row>
    <row r="31" spans="1:4">
      <c r="A31" s="401" t="s">
        <v>671</v>
      </c>
      <c r="B31" s="401" t="s">
        <v>644</v>
      </c>
      <c r="C31" s="401"/>
      <c r="D31" s="395" t="str">
        <f>IF(AND(Funcionalidades!$A$143="X", Funcionalidades!$D$163="X"), "SIM", "NÃO")</f>
        <v>NÃO</v>
      </c>
    </row>
    <row r="32" spans="1:4">
      <c r="A32" s="401" t="s">
        <v>672</v>
      </c>
      <c r="B32" s="401" t="s">
        <v>644</v>
      </c>
      <c r="C32" s="401"/>
      <c r="D32" s="395" t="s">
        <v>18</v>
      </c>
    </row>
    <row r="33" spans="1:4">
      <c r="A33" s="397" t="s">
        <v>673</v>
      </c>
      <c r="B33" s="397" t="s">
        <v>644</v>
      </c>
      <c r="C33" s="397" t="s">
        <v>204</v>
      </c>
      <c r="D33" s="395" t="str">
        <f>IF(AND(Funcionalidades!$A$143="X", Funcionalidades!$D$154="X"), "SIM", "NÃO")</f>
        <v>NÃO</v>
      </c>
    </row>
    <row r="34" spans="1:4">
      <c r="A34" s="397" t="s">
        <v>565</v>
      </c>
      <c r="B34" s="397" t="s">
        <v>644</v>
      </c>
      <c r="C34" s="397" t="s">
        <v>204</v>
      </c>
      <c r="D34" s="395" t="str">
        <f>IF(AND(Funcionalidades!$A$143="X", Funcionalidades!$D$152="X"), "SIM", "NÃO")</f>
        <v>NÃO</v>
      </c>
    </row>
    <row r="35" spans="1:4">
      <c r="A35" s="397" t="s">
        <v>567</v>
      </c>
      <c r="B35" s="397" t="s">
        <v>644</v>
      </c>
      <c r="C35" s="397" t="s">
        <v>204</v>
      </c>
      <c r="D35" s="395" t="str">
        <f>IF(AND(Funcionalidades!$A$143="X", Funcionalidades!$D$153="X"), "SIM", "NÃO")</f>
        <v>NÃO</v>
      </c>
    </row>
    <row r="36" spans="1:4">
      <c r="A36" s="397" t="s">
        <v>674</v>
      </c>
      <c r="B36" s="397" t="s">
        <v>644</v>
      </c>
      <c r="C36" s="397" t="s">
        <v>204</v>
      </c>
      <c r="D36" s="395" t="str">
        <f>IF(AND(Funcionalidades!$A$143="X", Funcionalidades!$D$154="X"), "SIM", "NÃO")</f>
        <v>NÃO</v>
      </c>
    </row>
    <row r="37" spans="1:4">
      <c r="A37" s="397" t="s">
        <v>551</v>
      </c>
      <c r="B37" s="397" t="s">
        <v>644</v>
      </c>
      <c r="C37" s="397" t="s">
        <v>204</v>
      </c>
      <c r="D37" s="395" t="str">
        <f>IF(AND(Funcionalidades!$A$143="X", Funcionalidades!$D$151="X"), "SIM", "NÃO")</f>
        <v>NÃO</v>
      </c>
    </row>
    <row r="38" spans="1:4">
      <c r="A38" s="401" t="s">
        <v>675</v>
      </c>
      <c r="B38" s="401" t="s">
        <v>658</v>
      </c>
      <c r="C38" s="401"/>
      <c r="D38" s="395" t="str">
        <f>IF(AND(Funcionalidades!$A$127="X", OR(Funcionalidades!$D$138="X", Funcionalidades!$D$139="X")), "SIM", "NÃO")</f>
        <v>NÃO</v>
      </c>
    </row>
    <row r="39" spans="1:4">
      <c r="A39" s="401" t="s">
        <v>676</v>
      </c>
      <c r="B39" s="401" t="s">
        <v>644</v>
      </c>
      <c r="C39" s="401"/>
      <c r="D39" s="395" t="str">
        <f>IF(AND(Funcionalidades!$A$101="X", Funcionalidades!$D$109="X"), "SIM", "NÃO")</f>
        <v>NÃO</v>
      </c>
    </row>
    <row r="40" spans="1:4">
      <c r="A40" s="401" t="s">
        <v>677</v>
      </c>
      <c r="B40" s="401" t="s">
        <v>644</v>
      </c>
      <c r="C40" s="401"/>
      <c r="D40" s="395" t="str">
        <f>IF(AND(Funcionalidades!$A$101="X", Funcionalidades!$D$109="X"), "SIM", "NÃO")</f>
        <v>NÃO</v>
      </c>
    </row>
    <row r="41" spans="1:4">
      <c r="A41" s="401" t="s">
        <v>678</v>
      </c>
      <c r="B41" s="401" t="s">
        <v>644</v>
      </c>
      <c r="C41" s="401"/>
      <c r="D41" s="395" t="str">
        <f>IF(AND(Funcionalidades!$A$101="X", Funcionalidades!$D$109="X"), "SIM", "NÃO")</f>
        <v>NÃO</v>
      </c>
    </row>
    <row r="42" spans="1:4">
      <c r="A42" s="401" t="s">
        <v>536</v>
      </c>
      <c r="B42" s="401" t="s">
        <v>644</v>
      </c>
      <c r="C42" s="401"/>
      <c r="D42" s="395" t="str">
        <f>IF(AND(Funcionalidades!$A$143="X", Funcionalidades!$D$168="X"), "SIM", "NÃO")</f>
        <v>SIM</v>
      </c>
    </row>
    <row r="43" spans="1:4">
      <c r="A43" s="397" t="s">
        <v>679</v>
      </c>
      <c r="B43" s="397" t="s">
        <v>644</v>
      </c>
      <c r="C43" s="397" t="s">
        <v>204</v>
      </c>
      <c r="D43" s="395" t="str">
        <f>IF(AND(Funcionalidades!$A$143="X", Funcionalidades!$D$146="X"), "SIM", "NÃO")</f>
        <v>SIM</v>
      </c>
    </row>
    <row r="44" spans="1:4">
      <c r="A44" s="401" t="s">
        <v>680</v>
      </c>
      <c r="B44" s="410" t="s">
        <v>644</v>
      </c>
      <c r="C44" s="397"/>
      <c r="D44" s="395" t="str">
        <f>IF(AND(Funcionalidades!$A$143="X", Funcionalidades!$D$149="X"), "SIM", "NÃO")</f>
        <v>NÃO</v>
      </c>
    </row>
    <row r="45" spans="1:4">
      <c r="A45" s="401" t="s">
        <v>681</v>
      </c>
      <c r="B45" s="401" t="s">
        <v>644</v>
      </c>
      <c r="C45" s="401"/>
      <c r="D45" s="395" t="str">
        <f>IF(AND(Funcionalidades!$A$143="X", Funcionalidades!$D$164="X"), "SIM", "NÃO")</f>
        <v>NÃO</v>
      </c>
    </row>
  </sheetData>
  <mergeCells count="2">
    <mergeCell ref="E11:F11"/>
    <mergeCell ref="E14:F1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EEBF7"/>
  </sheetPr>
  <dimension ref="A1:G117"/>
  <sheetViews>
    <sheetView topLeftCell="D46" zoomScale="90" zoomScaleNormal="90" workbookViewId="0">
      <selection activeCell="E8" sqref="E8"/>
    </sheetView>
  </sheetViews>
  <sheetFormatPr defaultColWidth="8.7109375" defaultRowHeight="15"/>
  <cols>
    <col min="1" max="1" width="26.140625" customWidth="1"/>
    <col min="2" max="2" width="54.42578125" customWidth="1"/>
    <col min="3" max="3" width="71.7109375" customWidth="1"/>
    <col min="4" max="4" width="122.5703125" style="411" customWidth="1"/>
    <col min="5" max="5" width="58.7109375" customWidth="1"/>
    <col min="6" max="6" width="18" customWidth="1"/>
    <col min="7" max="7" width="58.5703125" customWidth="1"/>
  </cols>
  <sheetData>
    <row r="1" spans="1:6" ht="18.75" customHeight="1">
      <c r="A1" s="412" t="s">
        <v>682</v>
      </c>
      <c r="B1" s="412" t="s">
        <v>683</v>
      </c>
      <c r="C1" s="412" t="s">
        <v>684</v>
      </c>
      <c r="D1" s="412" t="s">
        <v>685</v>
      </c>
      <c r="E1" s="412" t="s">
        <v>686</v>
      </c>
      <c r="F1" s="412" t="s">
        <v>687</v>
      </c>
    </row>
    <row r="2" spans="1:6" ht="15.75" customHeight="1">
      <c r="A2" s="628" t="s">
        <v>688</v>
      </c>
      <c r="B2" s="628" t="s">
        <v>689</v>
      </c>
      <c r="C2" s="413" t="s">
        <v>690</v>
      </c>
      <c r="D2" s="413" t="s">
        <v>691</v>
      </c>
      <c r="E2" s="414" t="s">
        <v>692</v>
      </c>
      <c r="F2" s="415"/>
    </row>
    <row r="3" spans="1:6" ht="15.75" customHeight="1">
      <c r="A3" s="628"/>
      <c r="B3" s="628"/>
      <c r="C3" s="413" t="s">
        <v>693</v>
      </c>
      <c r="D3" s="413" t="s">
        <v>694</v>
      </c>
      <c r="E3" s="414" t="s">
        <v>692</v>
      </c>
      <c r="F3" s="415"/>
    </row>
    <row r="4" spans="1:6" ht="15.75" customHeight="1">
      <c r="A4" s="628"/>
      <c r="B4" s="628"/>
      <c r="C4" s="413" t="s">
        <v>695</v>
      </c>
      <c r="D4" s="413" t="s">
        <v>696</v>
      </c>
      <c r="E4" s="414" t="s">
        <v>692</v>
      </c>
      <c r="F4" s="415"/>
    </row>
    <row r="5" spans="1:6" ht="15.75" customHeight="1">
      <c r="A5" s="628"/>
      <c r="B5" s="628"/>
      <c r="C5" s="413" t="s">
        <v>697</v>
      </c>
      <c r="D5" s="413" t="s">
        <v>698</v>
      </c>
      <c r="E5" s="414" t="s">
        <v>692</v>
      </c>
      <c r="F5" s="415"/>
    </row>
    <row r="6" spans="1:6" ht="15.75" customHeight="1">
      <c r="A6" s="628"/>
      <c r="B6" s="628"/>
      <c r="C6" s="413" t="s">
        <v>699</v>
      </c>
      <c r="D6" s="413" t="s">
        <v>700</v>
      </c>
      <c r="E6" s="414" t="s">
        <v>692</v>
      </c>
      <c r="F6" s="415"/>
    </row>
    <row r="7" spans="1:6" ht="71.25" customHeight="1">
      <c r="A7" s="628"/>
      <c r="B7" s="628"/>
      <c r="C7" s="413" t="s">
        <v>701</v>
      </c>
      <c r="D7" s="484" t="s">
        <v>702</v>
      </c>
      <c r="E7" s="414" t="s">
        <v>703</v>
      </c>
      <c r="F7" s="415"/>
    </row>
    <row r="8" spans="1:6" ht="64.5">
      <c r="A8" s="628"/>
      <c r="B8" s="628"/>
      <c r="C8" s="413" t="s">
        <v>704</v>
      </c>
      <c r="D8" s="484" t="s">
        <v>705</v>
      </c>
      <c r="E8" s="414" t="s">
        <v>703</v>
      </c>
      <c r="F8" s="415"/>
    </row>
    <row r="9" spans="1:6" ht="15" customHeight="1">
      <c r="A9" s="628"/>
      <c r="B9" s="628"/>
      <c r="C9" s="628" t="s">
        <v>706</v>
      </c>
      <c r="D9" s="628" t="s">
        <v>707</v>
      </c>
      <c r="E9" s="633" t="s">
        <v>658</v>
      </c>
      <c r="F9" s="632"/>
    </row>
    <row r="10" spans="1:6" ht="15" customHeight="1">
      <c r="A10" s="628"/>
      <c r="B10" s="628" t="s">
        <v>131</v>
      </c>
      <c r="C10" s="628"/>
      <c r="D10" s="628"/>
      <c r="E10" s="628"/>
      <c r="F10" s="628"/>
    </row>
    <row r="11" spans="1:6" ht="15.75" customHeight="1">
      <c r="A11" s="628"/>
      <c r="B11" s="628"/>
      <c r="C11" s="413" t="s">
        <v>708</v>
      </c>
      <c r="D11" s="413" t="s">
        <v>709</v>
      </c>
      <c r="E11" s="414" t="s">
        <v>703</v>
      </c>
      <c r="F11" s="417"/>
    </row>
    <row r="12" spans="1:6" ht="15.75" customHeight="1">
      <c r="A12" s="628"/>
      <c r="B12" s="628" t="s">
        <v>710</v>
      </c>
      <c r="C12" s="413" t="s">
        <v>711</v>
      </c>
      <c r="D12" s="413" t="s">
        <v>712</v>
      </c>
      <c r="E12" s="414" t="s">
        <v>703</v>
      </c>
      <c r="F12" s="418"/>
    </row>
    <row r="13" spans="1:6" ht="15.75" customHeight="1">
      <c r="A13" s="628"/>
      <c r="B13" s="628"/>
      <c r="C13" s="413" t="s">
        <v>713</v>
      </c>
      <c r="D13" s="413" t="s">
        <v>714</v>
      </c>
      <c r="E13" s="414" t="s">
        <v>703</v>
      </c>
      <c r="F13" s="418"/>
    </row>
    <row r="14" spans="1:6" ht="64.5" customHeight="1">
      <c r="A14" s="628"/>
      <c r="B14" s="628"/>
      <c r="C14" s="413" t="s">
        <v>715</v>
      </c>
      <c r="D14" s="419" t="s">
        <v>716</v>
      </c>
      <c r="E14" s="414" t="s">
        <v>717</v>
      </c>
      <c r="F14" s="418"/>
    </row>
    <row r="15" spans="1:6" ht="15.75" customHeight="1">
      <c r="A15" s="628"/>
      <c r="B15" s="628" t="s">
        <v>128</v>
      </c>
      <c r="C15" s="413" t="s">
        <v>718</v>
      </c>
      <c r="D15" s="413" t="s">
        <v>719</v>
      </c>
      <c r="E15" s="414" t="s">
        <v>703</v>
      </c>
      <c r="F15" s="418"/>
    </row>
    <row r="16" spans="1:6" ht="15.75" customHeight="1">
      <c r="A16" s="628"/>
      <c r="B16" s="628"/>
      <c r="C16" s="420" t="s">
        <v>720</v>
      </c>
      <c r="D16" s="413" t="s">
        <v>721</v>
      </c>
      <c r="E16" s="414" t="s">
        <v>703</v>
      </c>
      <c r="F16" s="418"/>
    </row>
    <row r="17" spans="1:7" ht="15.75" customHeight="1">
      <c r="A17" s="628"/>
      <c r="B17" s="628"/>
      <c r="C17" s="420" t="s">
        <v>722</v>
      </c>
      <c r="D17" s="413" t="s">
        <v>723</v>
      </c>
      <c r="E17" s="414" t="s">
        <v>703</v>
      </c>
      <c r="F17" s="418"/>
    </row>
    <row r="18" spans="1:7" ht="15.75" customHeight="1">
      <c r="A18" s="628"/>
      <c r="B18" s="628"/>
      <c r="C18" s="420" t="s">
        <v>724</v>
      </c>
      <c r="D18" s="413" t="s">
        <v>725</v>
      </c>
      <c r="E18" s="414" t="s">
        <v>726</v>
      </c>
      <c r="F18" s="418"/>
    </row>
    <row r="19" spans="1:7" ht="15.75" customHeight="1">
      <c r="A19" s="628"/>
      <c r="B19" s="628"/>
      <c r="C19" s="420" t="s">
        <v>727</v>
      </c>
      <c r="D19" s="413" t="s">
        <v>728</v>
      </c>
      <c r="E19" s="414" t="s">
        <v>703</v>
      </c>
      <c r="F19" s="418"/>
    </row>
    <row r="20" spans="1:7" ht="15.75" customHeight="1">
      <c r="A20" s="628"/>
      <c r="B20" s="628"/>
      <c r="C20" s="420" t="s">
        <v>729</v>
      </c>
      <c r="D20" s="413" t="s">
        <v>730</v>
      </c>
      <c r="E20" s="414" t="s">
        <v>703</v>
      </c>
      <c r="F20" s="418"/>
    </row>
    <row r="21" spans="1:7" ht="15.75" customHeight="1">
      <c r="A21" s="628"/>
      <c r="B21" s="628"/>
      <c r="C21" s="421" t="s">
        <v>731</v>
      </c>
      <c r="D21" s="413" t="s">
        <v>732</v>
      </c>
      <c r="E21" s="414" t="s">
        <v>692</v>
      </c>
      <c r="F21" s="418"/>
    </row>
    <row r="22" spans="1:7" ht="15.75" customHeight="1">
      <c r="A22" s="628"/>
      <c r="B22" s="628" t="s">
        <v>266</v>
      </c>
      <c r="C22" s="420" t="s">
        <v>733</v>
      </c>
      <c r="D22" s="413" t="s">
        <v>734</v>
      </c>
      <c r="E22" s="414" t="s">
        <v>692</v>
      </c>
      <c r="F22" s="418"/>
    </row>
    <row r="23" spans="1:7" ht="15.75" customHeight="1">
      <c r="A23" s="628"/>
      <c r="B23" s="628"/>
      <c r="C23" s="420" t="s">
        <v>735</v>
      </c>
      <c r="D23" s="413" t="s">
        <v>736</v>
      </c>
      <c r="E23" s="414" t="s">
        <v>692</v>
      </c>
      <c r="F23" s="418"/>
    </row>
    <row r="24" spans="1:7" ht="15.75" customHeight="1">
      <c r="A24" s="628"/>
      <c r="B24" s="413" t="s">
        <v>103</v>
      </c>
      <c r="C24" s="413" t="s">
        <v>737</v>
      </c>
      <c r="D24" s="413" t="s">
        <v>738</v>
      </c>
      <c r="E24" s="414" t="s">
        <v>703</v>
      </c>
      <c r="F24" s="422"/>
    </row>
    <row r="25" spans="1:7" ht="15.75" customHeight="1">
      <c r="A25" s="628"/>
      <c r="B25" s="628" t="s">
        <v>102</v>
      </c>
      <c r="C25" s="413" t="s">
        <v>739</v>
      </c>
      <c r="D25" s="413" t="s">
        <v>740</v>
      </c>
      <c r="E25" s="414" t="s">
        <v>741</v>
      </c>
      <c r="F25" s="422"/>
    </row>
    <row r="26" spans="1:7" ht="15.75" customHeight="1">
      <c r="A26" s="628"/>
      <c r="B26" s="628"/>
      <c r="C26" s="413" t="s">
        <v>742</v>
      </c>
      <c r="D26" s="413" t="s">
        <v>743</v>
      </c>
      <c r="E26" s="416" t="s">
        <v>658</v>
      </c>
      <c r="F26" s="417"/>
    </row>
    <row r="27" spans="1:7" ht="15.75" customHeight="1">
      <c r="A27" s="628"/>
      <c r="B27" s="413" t="s">
        <v>744</v>
      </c>
      <c r="C27" s="413" t="s">
        <v>745</v>
      </c>
      <c r="D27" s="413" t="s">
        <v>746</v>
      </c>
      <c r="E27" s="414" t="s">
        <v>703</v>
      </c>
      <c r="F27" s="418"/>
    </row>
    <row r="28" spans="1:7" ht="15.75" customHeight="1">
      <c r="A28" s="628"/>
      <c r="B28" s="413" t="s">
        <v>747</v>
      </c>
      <c r="C28" s="413" t="s">
        <v>748</v>
      </c>
      <c r="D28" s="413" t="s">
        <v>749</v>
      </c>
      <c r="E28" s="414" t="s">
        <v>703</v>
      </c>
      <c r="F28" s="423"/>
      <c r="G28" s="424" t="s">
        <v>750</v>
      </c>
    </row>
    <row r="29" spans="1:7" ht="15.75" customHeight="1">
      <c r="A29" s="628"/>
      <c r="B29" s="481" t="s">
        <v>106</v>
      </c>
      <c r="C29" s="481" t="s">
        <v>751</v>
      </c>
      <c r="D29" s="481" t="s">
        <v>752</v>
      </c>
      <c r="E29" s="482" t="s">
        <v>703</v>
      </c>
      <c r="F29" s="423"/>
      <c r="G29" s="425"/>
    </row>
    <row r="30" spans="1:7" ht="15.75" customHeight="1">
      <c r="A30" s="628"/>
      <c r="B30" s="413" t="s">
        <v>753</v>
      </c>
      <c r="C30" s="413" t="s">
        <v>754</v>
      </c>
      <c r="D30" s="413" t="s">
        <v>755</v>
      </c>
      <c r="E30" s="414" t="s">
        <v>692</v>
      </c>
      <c r="F30" s="423"/>
      <c r="G30" s="425"/>
    </row>
    <row r="31" spans="1:7" ht="15.75" customHeight="1">
      <c r="A31" s="628"/>
      <c r="B31" s="413" t="s">
        <v>756</v>
      </c>
      <c r="C31" s="413" t="s">
        <v>757</v>
      </c>
      <c r="D31" s="413" t="s">
        <v>758</v>
      </c>
      <c r="E31" s="414" t="s">
        <v>759</v>
      </c>
      <c r="F31" s="423"/>
      <c r="G31" s="425"/>
    </row>
    <row r="32" spans="1:7" ht="15.75" customHeight="1">
      <c r="A32" s="628"/>
      <c r="B32" s="413" t="s">
        <v>760</v>
      </c>
      <c r="C32" s="413" t="s">
        <v>761</v>
      </c>
      <c r="D32" s="413" t="s">
        <v>762</v>
      </c>
      <c r="E32" s="414" t="s">
        <v>759</v>
      </c>
      <c r="F32" s="423"/>
      <c r="G32" s="425"/>
    </row>
    <row r="33" spans="1:6" ht="64.5" customHeight="1">
      <c r="A33" s="628" t="s">
        <v>763</v>
      </c>
      <c r="B33" s="413" t="s">
        <v>764</v>
      </c>
      <c r="C33" s="413" t="s">
        <v>765</v>
      </c>
      <c r="D33" s="419" t="s">
        <v>766</v>
      </c>
      <c r="E33" s="414" t="s">
        <v>703</v>
      </c>
      <c r="F33" s="418"/>
    </row>
    <row r="34" spans="1:6" ht="15.75" customHeight="1">
      <c r="A34" s="628"/>
      <c r="B34" s="628" t="s">
        <v>767</v>
      </c>
      <c r="C34" s="413" t="s">
        <v>768</v>
      </c>
      <c r="D34" s="413" t="s">
        <v>769</v>
      </c>
      <c r="E34" s="414" t="s">
        <v>703</v>
      </c>
      <c r="F34" s="418"/>
    </row>
    <row r="35" spans="1:6" ht="15.75" customHeight="1">
      <c r="A35" s="628"/>
      <c r="B35" s="628"/>
      <c r="C35" s="413" t="s">
        <v>770</v>
      </c>
      <c r="D35" s="413" t="s">
        <v>771</v>
      </c>
      <c r="E35" s="414" t="s">
        <v>703</v>
      </c>
      <c r="F35" s="418"/>
    </row>
    <row r="36" spans="1:6" ht="32.25" customHeight="1">
      <c r="A36" s="628"/>
      <c r="B36" s="628"/>
      <c r="C36" s="413" t="s">
        <v>772</v>
      </c>
      <c r="D36" s="419" t="s">
        <v>773</v>
      </c>
      <c r="E36" s="414" t="s">
        <v>692</v>
      </c>
      <c r="F36" s="418"/>
    </row>
    <row r="37" spans="1:6" ht="15.75" customHeight="1">
      <c r="A37" s="628"/>
      <c r="B37" s="628"/>
      <c r="C37" s="413" t="s">
        <v>774</v>
      </c>
      <c r="D37" s="413" t="s">
        <v>775</v>
      </c>
      <c r="E37" s="414" t="s">
        <v>776</v>
      </c>
      <c r="F37" s="418"/>
    </row>
    <row r="38" spans="1:6" ht="15.75" customHeight="1">
      <c r="A38" s="628"/>
      <c r="B38" s="628" t="s">
        <v>777</v>
      </c>
      <c r="C38" s="413" t="s">
        <v>778</v>
      </c>
      <c r="D38" s="413" t="s">
        <v>779</v>
      </c>
      <c r="E38" s="414" t="s">
        <v>703</v>
      </c>
      <c r="F38" s="426"/>
    </row>
    <row r="39" spans="1:6" ht="15.75" customHeight="1">
      <c r="A39" s="628"/>
      <c r="B39" s="628"/>
      <c r="C39" s="413" t="s">
        <v>780</v>
      </c>
      <c r="D39" s="413" t="s">
        <v>781</v>
      </c>
      <c r="E39" s="414" t="s">
        <v>782</v>
      </c>
      <c r="F39" s="426"/>
    </row>
    <row r="40" spans="1:6" ht="48.75" customHeight="1">
      <c r="A40" s="628" t="s">
        <v>419</v>
      </c>
      <c r="B40" s="628" t="s">
        <v>547</v>
      </c>
      <c r="C40" s="413" t="s">
        <v>783</v>
      </c>
      <c r="D40" s="419" t="s">
        <v>784</v>
      </c>
      <c r="E40" s="414" t="s">
        <v>692</v>
      </c>
      <c r="F40" s="418"/>
    </row>
    <row r="41" spans="1:6" ht="16.5" customHeight="1">
      <c r="A41" s="628"/>
      <c r="B41" s="628"/>
      <c r="C41" s="427" t="s">
        <v>785</v>
      </c>
      <c r="D41" s="428" t="s">
        <v>786</v>
      </c>
      <c r="E41" s="414" t="s">
        <v>692</v>
      </c>
      <c r="F41" s="429"/>
    </row>
    <row r="42" spans="1:6" ht="16.5" customHeight="1">
      <c r="A42" s="628"/>
      <c r="B42" s="628"/>
      <c r="C42" s="427" t="s">
        <v>787</v>
      </c>
      <c r="D42" s="428" t="s">
        <v>788</v>
      </c>
      <c r="E42" s="414" t="s">
        <v>692</v>
      </c>
      <c r="F42" s="429"/>
    </row>
    <row r="43" spans="1:6" ht="16.5" customHeight="1">
      <c r="A43" s="628"/>
      <c r="B43" s="628"/>
      <c r="C43" s="427" t="s">
        <v>789</v>
      </c>
      <c r="D43" s="428" t="s">
        <v>790</v>
      </c>
      <c r="E43" s="414" t="s">
        <v>692</v>
      </c>
      <c r="F43" s="429"/>
    </row>
    <row r="44" spans="1:6" ht="16.5" customHeight="1">
      <c r="A44" s="628"/>
      <c r="B44" s="628"/>
      <c r="C44" s="427" t="s">
        <v>791</v>
      </c>
      <c r="D44" s="428" t="s">
        <v>792</v>
      </c>
      <c r="E44" s="414" t="s">
        <v>692</v>
      </c>
      <c r="F44" s="429"/>
    </row>
    <row r="45" spans="1:6" ht="48.75" customHeight="1">
      <c r="A45" s="628"/>
      <c r="B45" s="628"/>
      <c r="C45" s="427" t="s">
        <v>793</v>
      </c>
      <c r="D45" s="428" t="s">
        <v>794</v>
      </c>
      <c r="E45" s="414" t="s">
        <v>692</v>
      </c>
      <c r="F45" s="429"/>
    </row>
    <row r="46" spans="1:6" ht="64.5" customHeight="1">
      <c r="A46" s="628"/>
      <c r="B46" s="628"/>
      <c r="C46" s="427" t="s">
        <v>795</v>
      </c>
      <c r="D46" s="428" t="s">
        <v>796</v>
      </c>
      <c r="E46" s="414" t="s">
        <v>692</v>
      </c>
      <c r="F46" s="429"/>
    </row>
    <row r="47" spans="1:6" ht="15.75" customHeight="1">
      <c r="A47" s="628"/>
      <c r="B47" s="628"/>
      <c r="C47" s="427" t="s">
        <v>797</v>
      </c>
      <c r="D47" s="427" t="s">
        <v>798</v>
      </c>
      <c r="E47" s="416" t="s">
        <v>658</v>
      </c>
      <c r="F47" s="429"/>
    </row>
    <row r="48" spans="1:6" ht="48.75" customHeight="1">
      <c r="A48" s="628"/>
      <c r="B48" s="628"/>
      <c r="C48" s="427" t="s">
        <v>799</v>
      </c>
      <c r="D48" s="428" t="s">
        <v>800</v>
      </c>
      <c r="E48" s="430" t="s">
        <v>782</v>
      </c>
      <c r="F48" s="429"/>
    </row>
    <row r="49" spans="1:7" ht="15.75" customHeight="1">
      <c r="A49" s="627" t="s">
        <v>801</v>
      </c>
      <c r="B49" s="628" t="s">
        <v>802</v>
      </c>
      <c r="C49" s="413" t="s">
        <v>803</v>
      </c>
      <c r="D49" s="431" t="s">
        <v>804</v>
      </c>
      <c r="E49" s="416" t="s">
        <v>658</v>
      </c>
      <c r="F49" s="432"/>
      <c r="G49" s="629" t="s">
        <v>805</v>
      </c>
    </row>
    <row r="50" spans="1:7" ht="15.75" customHeight="1">
      <c r="A50" s="627"/>
      <c r="B50" s="627"/>
      <c r="C50" s="413" t="s">
        <v>806</v>
      </c>
      <c r="D50" s="431" t="s">
        <v>807</v>
      </c>
      <c r="E50" s="416" t="s">
        <v>658</v>
      </c>
      <c r="F50" s="433"/>
      <c r="G50" s="630"/>
    </row>
    <row r="51" spans="1:7" ht="15.75" customHeight="1">
      <c r="A51" s="627"/>
      <c r="B51" s="628"/>
      <c r="C51" s="413" t="s">
        <v>808</v>
      </c>
      <c r="D51" s="431" t="s">
        <v>809</v>
      </c>
      <c r="E51" s="414" t="s">
        <v>703</v>
      </c>
      <c r="F51" s="423"/>
      <c r="G51" s="630"/>
    </row>
    <row r="52" spans="1:7" ht="15.75" customHeight="1">
      <c r="A52" s="627"/>
      <c r="B52" s="628" t="s">
        <v>810</v>
      </c>
      <c r="C52" s="413" t="s">
        <v>803</v>
      </c>
      <c r="D52" s="431" t="s">
        <v>811</v>
      </c>
      <c r="E52" s="416" t="s">
        <v>658</v>
      </c>
      <c r="F52" s="423"/>
      <c r="G52" s="630"/>
    </row>
    <row r="53" spans="1:7" ht="48.75" customHeight="1">
      <c r="A53" s="627"/>
      <c r="B53" s="627"/>
      <c r="C53" s="413" t="s">
        <v>812</v>
      </c>
      <c r="D53" s="428" t="s">
        <v>813</v>
      </c>
      <c r="E53" s="414" t="s">
        <v>692</v>
      </c>
      <c r="F53" s="423"/>
      <c r="G53" s="630"/>
    </row>
    <row r="54" spans="1:7" ht="15.75" customHeight="1">
      <c r="A54" s="627"/>
      <c r="B54" s="628"/>
      <c r="C54" s="413" t="s">
        <v>814</v>
      </c>
      <c r="D54" s="431" t="s">
        <v>815</v>
      </c>
      <c r="E54" s="416" t="s">
        <v>658</v>
      </c>
      <c r="F54" s="423"/>
      <c r="G54" s="630"/>
    </row>
    <row r="55" spans="1:7" ht="37.5" customHeight="1">
      <c r="A55" s="627"/>
      <c r="B55" s="628" t="s">
        <v>816</v>
      </c>
      <c r="C55" s="413" t="s">
        <v>803</v>
      </c>
      <c r="D55" s="431" t="s">
        <v>817</v>
      </c>
      <c r="E55" s="416" t="s">
        <v>658</v>
      </c>
      <c r="F55" s="434"/>
      <c r="G55" s="630"/>
    </row>
    <row r="56" spans="1:7" ht="15.75" customHeight="1">
      <c r="A56" s="627"/>
      <c r="B56" s="628"/>
      <c r="C56" s="413" t="s">
        <v>814</v>
      </c>
      <c r="D56" s="431" t="s">
        <v>818</v>
      </c>
      <c r="E56" s="416" t="s">
        <v>658</v>
      </c>
      <c r="F56" s="434"/>
      <c r="G56" s="630"/>
    </row>
    <row r="57" spans="1:7" ht="15.75" customHeight="1">
      <c r="A57" s="627"/>
      <c r="B57" s="413" t="s">
        <v>819</v>
      </c>
      <c r="C57" s="413" t="s">
        <v>814</v>
      </c>
      <c r="D57" s="431" t="s">
        <v>820</v>
      </c>
      <c r="E57" s="435" t="s">
        <v>658</v>
      </c>
      <c r="F57" s="434"/>
      <c r="G57" s="630"/>
    </row>
    <row r="58" spans="1:7" ht="15.75" customHeight="1">
      <c r="A58" s="627"/>
      <c r="B58" s="427" t="s">
        <v>425</v>
      </c>
      <c r="C58" s="427" t="s">
        <v>803</v>
      </c>
      <c r="D58" s="436" t="s">
        <v>821</v>
      </c>
      <c r="E58" s="435" t="s">
        <v>658</v>
      </c>
      <c r="F58" s="434"/>
      <c r="G58" s="630"/>
    </row>
    <row r="59" spans="1:7" ht="15.75" customHeight="1">
      <c r="A59" s="619" t="s">
        <v>822</v>
      </c>
      <c r="B59" s="620" t="s">
        <v>823</v>
      </c>
      <c r="C59" s="437" t="s">
        <v>824</v>
      </c>
      <c r="D59" s="438" t="s">
        <v>825</v>
      </c>
      <c r="E59" s="439" t="s">
        <v>692</v>
      </c>
      <c r="F59" s="423"/>
      <c r="G59" s="631"/>
    </row>
    <row r="60" spans="1:7" ht="15.75" customHeight="1">
      <c r="A60" s="619"/>
      <c r="B60" s="620"/>
      <c r="C60" s="440" t="s">
        <v>826</v>
      </c>
      <c r="D60" s="441" t="s">
        <v>827</v>
      </c>
      <c r="E60" s="442" t="s">
        <v>828</v>
      </c>
      <c r="F60" s="423"/>
      <c r="G60" s="615" t="s">
        <v>829</v>
      </c>
    </row>
    <row r="61" spans="1:7" ht="15.75" customHeight="1">
      <c r="A61" s="621" t="s">
        <v>830</v>
      </c>
      <c r="B61" s="624" t="s">
        <v>823</v>
      </c>
      <c r="C61" s="485" t="s">
        <v>128</v>
      </c>
      <c r="D61" s="486" t="s">
        <v>831</v>
      </c>
      <c r="E61" s="487" t="s">
        <v>828</v>
      </c>
      <c r="F61" s="496"/>
      <c r="G61" s="616"/>
    </row>
    <row r="62" spans="1:7" ht="15.75" customHeight="1">
      <c r="A62" s="622"/>
      <c r="B62" s="625"/>
      <c r="C62" s="485" t="s">
        <v>832</v>
      </c>
      <c r="D62" s="486" t="s">
        <v>833</v>
      </c>
      <c r="E62" s="487" t="s">
        <v>828</v>
      </c>
      <c r="F62" s="496"/>
      <c r="G62" s="616"/>
    </row>
    <row r="63" spans="1:7" ht="15.75" customHeight="1">
      <c r="A63" s="622"/>
      <c r="B63" s="625"/>
      <c r="C63" s="485" t="s">
        <v>834</v>
      </c>
      <c r="D63" s="486" t="s">
        <v>835</v>
      </c>
      <c r="E63" s="487" t="s">
        <v>828</v>
      </c>
      <c r="F63" s="496"/>
      <c r="G63" s="616"/>
    </row>
    <row r="64" spans="1:7" ht="15.75" customHeight="1">
      <c r="A64" s="622"/>
      <c r="B64" s="625"/>
      <c r="C64" s="485" t="s">
        <v>836</v>
      </c>
      <c r="D64" s="486" t="s">
        <v>837</v>
      </c>
      <c r="E64" s="487" t="s">
        <v>828</v>
      </c>
      <c r="F64" s="488"/>
      <c r="G64" s="616"/>
    </row>
    <row r="65" spans="1:7" ht="15.75" customHeight="1">
      <c r="A65" s="622"/>
      <c r="B65" s="625"/>
      <c r="C65" s="489" t="s">
        <v>838</v>
      </c>
      <c r="D65" s="490" t="s">
        <v>839</v>
      </c>
      <c r="E65" s="491" t="s">
        <v>828</v>
      </c>
      <c r="F65" s="492"/>
      <c r="G65" s="616"/>
    </row>
    <row r="66" spans="1:7" ht="15.75">
      <c r="A66" s="623"/>
      <c r="B66" s="626"/>
      <c r="C66" s="493" t="s">
        <v>840</v>
      </c>
      <c r="D66" s="494" t="s">
        <v>841</v>
      </c>
      <c r="E66" s="495" t="s">
        <v>828</v>
      </c>
      <c r="F66" s="497"/>
      <c r="G66" s="617"/>
    </row>
    <row r="72" spans="1:7">
      <c r="F72" s="443"/>
    </row>
    <row r="73" spans="1:7">
      <c r="F73" s="443"/>
    </row>
    <row r="74" spans="1:7">
      <c r="F74" s="443"/>
    </row>
    <row r="75" spans="1:7">
      <c r="A75" s="618" t="s">
        <v>842</v>
      </c>
      <c r="B75" s="618"/>
      <c r="C75" s="618"/>
      <c r="D75" s="618"/>
      <c r="F75" s="443"/>
    </row>
    <row r="76" spans="1:7">
      <c r="A76" s="444" t="s">
        <v>843</v>
      </c>
      <c r="B76" s="444" t="s">
        <v>844</v>
      </c>
      <c r="C76" s="444" t="s">
        <v>845</v>
      </c>
      <c r="D76" s="445" t="s">
        <v>846</v>
      </c>
      <c r="F76" s="443"/>
    </row>
    <row r="77" spans="1:7">
      <c r="A77" s="392"/>
      <c r="B77" s="392"/>
      <c r="C77" s="392"/>
      <c r="D77" s="409"/>
      <c r="F77" s="443"/>
    </row>
    <row r="78" spans="1:7">
      <c r="A78" s="392"/>
      <c r="B78" s="392"/>
      <c r="C78" s="392"/>
      <c r="D78" s="409"/>
      <c r="F78" s="443"/>
    </row>
    <row r="79" spans="1:7">
      <c r="A79" s="392"/>
      <c r="B79" s="392"/>
      <c r="C79" s="392"/>
      <c r="D79" s="409"/>
      <c r="F79" s="443"/>
    </row>
    <row r="80" spans="1:7">
      <c r="A80" s="392"/>
      <c r="B80" s="392"/>
      <c r="C80" s="392"/>
      <c r="D80" s="409"/>
      <c r="F80" s="443"/>
    </row>
    <row r="81" spans="1:6">
      <c r="A81" s="392"/>
      <c r="B81" s="392"/>
      <c r="C81" s="392"/>
      <c r="D81" s="409"/>
      <c r="F81" s="443"/>
    </row>
    <row r="82" spans="1:6">
      <c r="A82" s="392"/>
      <c r="B82" s="392"/>
      <c r="C82" s="392"/>
      <c r="D82" s="409"/>
      <c r="F82" s="443"/>
    </row>
    <row r="83" spans="1:6">
      <c r="A83" s="392"/>
      <c r="B83" s="392"/>
      <c r="C83" s="392"/>
      <c r="D83" s="409"/>
      <c r="F83" s="443"/>
    </row>
    <row r="84" spans="1:6">
      <c r="A84" s="392"/>
      <c r="B84" s="392"/>
      <c r="C84" s="392"/>
      <c r="D84" s="409"/>
      <c r="F84" s="443"/>
    </row>
    <row r="85" spans="1:6">
      <c r="A85" s="392"/>
      <c r="B85" s="392"/>
      <c r="C85" s="392"/>
      <c r="D85" s="409"/>
      <c r="F85" s="443"/>
    </row>
    <row r="86" spans="1:6">
      <c r="A86" s="392"/>
      <c r="B86" s="392"/>
      <c r="C86" s="392"/>
      <c r="D86" s="409"/>
      <c r="F86" s="443"/>
    </row>
    <row r="87" spans="1:6">
      <c r="A87" s="392"/>
      <c r="B87" s="392"/>
      <c r="C87" s="392"/>
      <c r="D87" s="409"/>
      <c r="F87" s="443"/>
    </row>
    <row r="88" spans="1:6">
      <c r="A88" s="392"/>
      <c r="B88" s="392"/>
      <c r="C88" s="392"/>
      <c r="D88" s="409"/>
      <c r="F88" s="443"/>
    </row>
    <row r="89" spans="1:6">
      <c r="A89" s="392"/>
      <c r="B89" s="392"/>
      <c r="C89" s="392"/>
      <c r="D89" s="409"/>
      <c r="F89" s="443"/>
    </row>
    <row r="90" spans="1:6">
      <c r="A90" s="392"/>
      <c r="B90" s="392"/>
      <c r="C90" s="392"/>
      <c r="D90" s="409"/>
      <c r="F90" s="443"/>
    </row>
    <row r="91" spans="1:6">
      <c r="A91" s="392"/>
      <c r="B91" s="392"/>
      <c r="C91" s="392"/>
      <c r="D91" s="409"/>
      <c r="F91" s="443"/>
    </row>
    <row r="92" spans="1:6">
      <c r="A92" s="392"/>
      <c r="B92" s="392"/>
      <c r="C92" s="392"/>
      <c r="D92" s="409"/>
      <c r="F92" s="443"/>
    </row>
    <row r="93" spans="1:6">
      <c r="A93" s="392"/>
      <c r="B93" s="392"/>
      <c r="C93" s="392"/>
      <c r="D93" s="409"/>
      <c r="F93" s="443"/>
    </row>
    <row r="94" spans="1:6">
      <c r="A94" s="392"/>
      <c r="B94" s="392"/>
      <c r="C94" s="392"/>
      <c r="D94" s="409"/>
      <c r="F94" s="443"/>
    </row>
    <row r="95" spans="1:6">
      <c r="F95" s="443"/>
    </row>
    <row r="96" spans="1:6">
      <c r="F96" s="443"/>
    </row>
    <row r="97" spans="1:6">
      <c r="F97" s="443"/>
    </row>
    <row r="98" spans="1:6">
      <c r="A98" s="618" t="s">
        <v>847</v>
      </c>
      <c r="B98" s="618"/>
      <c r="C98" s="618"/>
      <c r="D98" s="618"/>
      <c r="F98" s="443"/>
    </row>
    <row r="99" spans="1:6">
      <c r="A99" s="444" t="s">
        <v>843</v>
      </c>
      <c r="B99" s="444" t="s">
        <v>844</v>
      </c>
      <c r="C99" s="444" t="s">
        <v>845</v>
      </c>
      <c r="D99" s="445" t="s">
        <v>846</v>
      </c>
      <c r="F99" s="443"/>
    </row>
    <row r="100" spans="1:6">
      <c r="A100" s="392"/>
      <c r="B100" s="392"/>
      <c r="C100" s="392"/>
      <c r="D100" s="409"/>
      <c r="F100" s="443"/>
    </row>
    <row r="101" spans="1:6">
      <c r="A101" s="392"/>
      <c r="B101" s="392"/>
      <c r="C101" s="392"/>
      <c r="D101" s="409"/>
      <c r="F101" s="443"/>
    </row>
    <row r="102" spans="1:6">
      <c r="A102" s="392"/>
      <c r="B102" s="392"/>
      <c r="C102" s="392"/>
      <c r="D102" s="409"/>
      <c r="F102" s="443"/>
    </row>
    <row r="103" spans="1:6">
      <c r="A103" s="392"/>
      <c r="B103" s="392"/>
      <c r="C103" s="392"/>
      <c r="D103" s="409"/>
      <c r="F103" s="443"/>
    </row>
    <row r="104" spans="1:6">
      <c r="A104" s="392"/>
      <c r="B104" s="392"/>
      <c r="C104" s="392"/>
      <c r="D104" s="409"/>
      <c r="F104" s="443"/>
    </row>
    <row r="105" spans="1:6">
      <c r="A105" s="392"/>
      <c r="B105" s="392"/>
      <c r="C105" s="392"/>
      <c r="D105" s="409"/>
      <c r="F105" s="443"/>
    </row>
    <row r="106" spans="1:6">
      <c r="A106" s="392"/>
      <c r="B106" s="392"/>
      <c r="C106" s="392"/>
      <c r="D106" s="409"/>
      <c r="F106" s="443"/>
    </row>
    <row r="107" spans="1:6">
      <c r="A107" s="392"/>
      <c r="B107" s="392"/>
      <c r="C107" s="392"/>
      <c r="D107" s="409"/>
      <c r="F107" s="443"/>
    </row>
    <row r="108" spans="1:6">
      <c r="A108" s="392"/>
      <c r="B108" s="392"/>
      <c r="C108" s="392"/>
      <c r="D108" s="409"/>
      <c r="F108" s="443"/>
    </row>
    <row r="109" spans="1:6">
      <c r="A109" s="392"/>
      <c r="B109" s="392"/>
      <c r="C109" s="392"/>
      <c r="D109" s="409"/>
      <c r="F109" s="443"/>
    </row>
    <row r="110" spans="1:6">
      <c r="A110" s="392"/>
      <c r="B110" s="392"/>
      <c r="C110" s="392"/>
      <c r="D110" s="409"/>
      <c r="F110" s="443"/>
    </row>
    <row r="111" spans="1:6">
      <c r="A111" s="392"/>
      <c r="B111" s="392"/>
      <c r="C111" s="392"/>
      <c r="D111" s="409"/>
      <c r="F111" s="443"/>
    </row>
    <row r="112" spans="1:6">
      <c r="A112" s="392"/>
      <c r="B112" s="392"/>
      <c r="C112" s="392"/>
      <c r="D112" s="409"/>
      <c r="F112" s="443"/>
    </row>
    <row r="113" spans="1:6">
      <c r="A113" s="392"/>
      <c r="B113" s="392"/>
      <c r="C113" s="392"/>
      <c r="D113" s="409"/>
      <c r="F113" s="443"/>
    </row>
    <row r="114" spans="1:6">
      <c r="A114" s="392"/>
      <c r="B114" s="392"/>
      <c r="C114" s="392"/>
      <c r="D114" s="409"/>
      <c r="F114" s="443"/>
    </row>
    <row r="115" spans="1:6">
      <c r="A115" s="392"/>
      <c r="B115" s="392"/>
      <c r="C115" s="392"/>
      <c r="D115" s="409"/>
      <c r="F115" s="443"/>
    </row>
    <row r="116" spans="1:6">
      <c r="A116" s="392"/>
      <c r="B116" s="392"/>
      <c r="C116" s="392"/>
      <c r="D116" s="409"/>
      <c r="F116" s="443"/>
    </row>
    <row r="117" spans="1:6">
      <c r="A117" s="392"/>
      <c r="B117" s="392"/>
      <c r="C117" s="392"/>
      <c r="D117" s="409"/>
      <c r="F117" s="443"/>
    </row>
  </sheetData>
  <mergeCells count="28">
    <mergeCell ref="A2:A32"/>
    <mergeCell ref="B2:B9"/>
    <mergeCell ref="C9:C10"/>
    <mergeCell ref="D9:D10"/>
    <mergeCell ref="E9:E10"/>
    <mergeCell ref="B25:B26"/>
    <mergeCell ref="F9:F10"/>
    <mergeCell ref="B10:B11"/>
    <mergeCell ref="B12:B14"/>
    <mergeCell ref="B15:B21"/>
    <mergeCell ref="B22:B23"/>
    <mergeCell ref="A33:A39"/>
    <mergeCell ref="B34:B37"/>
    <mergeCell ref="B38:B39"/>
    <mergeCell ref="A40:A48"/>
    <mergeCell ref="B40:B48"/>
    <mergeCell ref="A49:A58"/>
    <mergeCell ref="B49:B51"/>
    <mergeCell ref="B52:B54"/>
    <mergeCell ref="B55:B56"/>
    <mergeCell ref="G49:G59"/>
    <mergeCell ref="G60:G66"/>
    <mergeCell ref="A75:D75"/>
    <mergeCell ref="A98:D98"/>
    <mergeCell ref="A59:A60"/>
    <mergeCell ref="B59:B60"/>
    <mergeCell ref="A61:A66"/>
    <mergeCell ref="B61:B66"/>
  </mergeCells>
  <dataValidations count="1">
    <dataValidation type="list" errorStyle="warning" allowBlank="1" showInputMessage="1" showErrorMessage="1" sqref="F39" xr:uid="{00000000-0002-0000-0700-000000000000}">
      <formula1>"SIM"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2F0D9"/>
  </sheetPr>
  <dimension ref="A1:R59"/>
  <sheetViews>
    <sheetView zoomScale="90" zoomScaleNormal="90" workbookViewId="0"/>
  </sheetViews>
  <sheetFormatPr defaultColWidth="8.5703125" defaultRowHeight="15"/>
  <cols>
    <col min="1" max="1" width="42.85546875" customWidth="1"/>
    <col min="2" max="2" width="15.85546875" customWidth="1"/>
    <col min="3" max="3" width="20.42578125" customWidth="1"/>
    <col min="4" max="4" width="60.42578125" customWidth="1"/>
    <col min="8" max="8" width="26.85546875" customWidth="1"/>
    <col min="9" max="9" width="16.140625" customWidth="1"/>
  </cols>
  <sheetData>
    <row r="1" spans="1:18">
      <c r="A1" s="446" t="s">
        <v>848</v>
      </c>
      <c r="B1" s="446" t="s">
        <v>95</v>
      </c>
      <c r="C1" s="446" t="s">
        <v>849</v>
      </c>
      <c r="D1" s="447" t="s">
        <v>850</v>
      </c>
      <c r="H1" s="448" t="s">
        <v>641</v>
      </c>
      <c r="I1" s="448" t="s">
        <v>851</v>
      </c>
    </row>
    <row r="2" spans="1:18" ht="15.75" customHeight="1">
      <c r="A2" s="449" t="s">
        <v>852</v>
      </c>
      <c r="B2" s="449" t="s">
        <v>658</v>
      </c>
      <c r="C2" s="450"/>
      <c r="D2" s="451"/>
      <c r="H2" s="452" t="s">
        <v>853</v>
      </c>
      <c r="I2" s="453"/>
    </row>
    <row r="3" spans="1:18" ht="15.75" customHeight="1">
      <c r="A3" s="449" t="s">
        <v>854</v>
      </c>
      <c r="B3" s="449" t="s">
        <v>658</v>
      </c>
      <c r="C3" s="450"/>
      <c r="D3" s="451"/>
      <c r="H3" s="452" t="s">
        <v>855</v>
      </c>
      <c r="I3" s="453"/>
    </row>
    <row r="4" spans="1:18" ht="15.75" customHeight="1">
      <c r="A4" s="449" t="s">
        <v>856</v>
      </c>
      <c r="B4" s="449" t="s">
        <v>658</v>
      </c>
      <c r="C4" s="450"/>
      <c r="D4" s="451"/>
      <c r="H4" s="452" t="s">
        <v>647</v>
      </c>
      <c r="I4" s="453"/>
    </row>
    <row r="5" spans="1:18" ht="15.75" customHeight="1">
      <c r="A5" s="392" t="s">
        <v>857</v>
      </c>
      <c r="B5" s="392" t="s">
        <v>644</v>
      </c>
      <c r="C5" s="454"/>
      <c r="D5" s="455"/>
      <c r="H5" s="452" t="s">
        <v>858</v>
      </c>
      <c r="I5" s="453"/>
    </row>
    <row r="6" spans="1:18" ht="15.75" customHeight="1">
      <c r="A6" s="449" t="s">
        <v>859</v>
      </c>
      <c r="B6" s="449" t="s">
        <v>658</v>
      </c>
      <c r="C6" s="450"/>
      <c r="D6" s="451"/>
      <c r="H6" s="452" t="s">
        <v>860</v>
      </c>
      <c r="I6" s="453"/>
    </row>
    <row r="7" spans="1:18" ht="15.75" customHeight="1">
      <c r="A7" s="449" t="s">
        <v>861</v>
      </c>
      <c r="B7" s="449" t="s">
        <v>658</v>
      </c>
      <c r="C7" s="450"/>
      <c r="D7" s="451"/>
    </row>
    <row r="8" spans="1:18" ht="15.75" customHeight="1">
      <c r="A8" s="449" t="s">
        <v>862</v>
      </c>
      <c r="B8" s="449" t="s">
        <v>658</v>
      </c>
      <c r="C8" s="450"/>
      <c r="D8" s="451"/>
    </row>
    <row r="9" spans="1:18" ht="15.75" customHeight="1">
      <c r="A9" s="392" t="s">
        <v>863</v>
      </c>
      <c r="B9" s="392" t="s">
        <v>644</v>
      </c>
      <c r="C9" s="454"/>
      <c r="D9" s="455"/>
    </row>
    <row r="10" spans="1:18" ht="15" customHeight="1">
      <c r="A10" s="449" t="s">
        <v>864</v>
      </c>
      <c r="B10" s="449" t="s">
        <v>658</v>
      </c>
      <c r="C10" s="450"/>
      <c r="D10" s="451"/>
      <c r="H10" s="634" t="s">
        <v>655</v>
      </c>
      <c r="I10" s="634"/>
      <c r="J10" s="634"/>
      <c r="K10" s="634"/>
      <c r="L10" s="634"/>
      <c r="M10" s="634"/>
      <c r="N10" s="634"/>
      <c r="O10" s="634"/>
      <c r="P10" s="634"/>
      <c r="Q10" s="634"/>
      <c r="R10" s="634"/>
    </row>
    <row r="11" spans="1:18" ht="15" customHeight="1">
      <c r="A11" s="449" t="s">
        <v>865</v>
      </c>
      <c r="B11" s="449" t="s">
        <v>658</v>
      </c>
      <c r="C11" s="450"/>
      <c r="D11" s="451"/>
      <c r="H11" s="634"/>
      <c r="I11" s="634"/>
      <c r="J11" s="634"/>
      <c r="K11" s="634"/>
      <c r="L11" s="634"/>
      <c r="M11" s="634"/>
      <c r="N11" s="634"/>
      <c r="O11" s="634"/>
      <c r="P11" s="634"/>
      <c r="Q11" s="634"/>
      <c r="R11" s="634"/>
    </row>
    <row r="12" spans="1:18" ht="15" customHeight="1">
      <c r="A12" s="449" t="s">
        <v>866</v>
      </c>
      <c r="B12" s="449" t="s">
        <v>658</v>
      </c>
      <c r="C12" s="450"/>
      <c r="D12" s="451"/>
      <c r="H12" s="634"/>
      <c r="I12" s="634"/>
      <c r="J12" s="634"/>
      <c r="K12" s="634"/>
      <c r="L12" s="634"/>
      <c r="M12" s="634"/>
      <c r="N12" s="634"/>
      <c r="O12" s="634"/>
      <c r="P12" s="634"/>
      <c r="Q12" s="634"/>
      <c r="R12" s="634"/>
    </row>
    <row r="13" spans="1:18">
      <c r="A13" s="449" t="s">
        <v>867</v>
      </c>
      <c r="B13" s="449" t="s">
        <v>658</v>
      </c>
      <c r="C13" s="450"/>
      <c r="D13" s="451"/>
    </row>
    <row r="14" spans="1:18">
      <c r="A14" s="392" t="s">
        <v>868</v>
      </c>
      <c r="B14" s="392" t="s">
        <v>644</v>
      </c>
      <c r="C14" s="454"/>
      <c r="D14" s="455"/>
    </row>
    <row r="15" spans="1:18">
      <c r="A15" s="449" t="s">
        <v>869</v>
      </c>
      <c r="B15" s="449" t="s">
        <v>658</v>
      </c>
      <c r="C15" s="450"/>
      <c r="D15" s="451"/>
    </row>
    <row r="16" spans="1:18">
      <c r="A16" s="449" t="s">
        <v>870</v>
      </c>
      <c r="B16" s="449" t="s">
        <v>658</v>
      </c>
      <c r="C16" s="450"/>
      <c r="D16" s="451"/>
    </row>
    <row r="17" spans="1:4" ht="15.75" customHeight="1">
      <c r="A17" s="392" t="s">
        <v>871</v>
      </c>
      <c r="B17" s="392" t="s">
        <v>644</v>
      </c>
      <c r="C17" s="454"/>
      <c r="D17" s="455"/>
    </row>
    <row r="18" spans="1:4" ht="15.75" customHeight="1">
      <c r="A18" s="392" t="s">
        <v>872</v>
      </c>
      <c r="B18" s="392" t="s">
        <v>644</v>
      </c>
      <c r="C18" s="454"/>
      <c r="D18" s="455" t="s">
        <v>873</v>
      </c>
    </row>
    <row r="19" spans="1:4" ht="15.75" customHeight="1">
      <c r="A19" s="392" t="s">
        <v>874</v>
      </c>
      <c r="B19" s="392" t="s">
        <v>644</v>
      </c>
      <c r="C19" s="454"/>
      <c r="D19" s="455"/>
    </row>
    <row r="20" spans="1:4">
      <c r="A20" s="449" t="s">
        <v>875</v>
      </c>
      <c r="B20" s="449" t="s">
        <v>658</v>
      </c>
      <c r="C20" s="450"/>
      <c r="D20" s="451"/>
    </row>
    <row r="21" spans="1:4" ht="15.75" customHeight="1">
      <c r="A21" s="392" t="s">
        <v>876</v>
      </c>
      <c r="B21" s="392" t="s">
        <v>644</v>
      </c>
      <c r="C21" s="454"/>
      <c r="D21" s="455"/>
    </row>
    <row r="22" spans="1:4" ht="15.75" customHeight="1">
      <c r="A22" s="392" t="s">
        <v>877</v>
      </c>
      <c r="B22" s="392" t="s">
        <v>644</v>
      </c>
      <c r="C22" s="454"/>
      <c r="D22" s="455"/>
    </row>
    <row r="23" spans="1:4" ht="15.75" customHeight="1">
      <c r="A23" s="392" t="s">
        <v>878</v>
      </c>
      <c r="B23" s="392" t="s">
        <v>644</v>
      </c>
      <c r="C23" s="454"/>
      <c r="D23" s="455"/>
    </row>
    <row r="24" spans="1:4" ht="15.75" customHeight="1">
      <c r="A24" s="449" t="s">
        <v>879</v>
      </c>
      <c r="B24" s="449" t="s">
        <v>658</v>
      </c>
      <c r="C24" s="454"/>
      <c r="D24" s="455"/>
    </row>
    <row r="25" spans="1:4" ht="15.75" customHeight="1">
      <c r="A25" s="449" t="s">
        <v>880</v>
      </c>
      <c r="B25" s="449" t="s">
        <v>658</v>
      </c>
      <c r="C25" s="450"/>
      <c r="D25" s="451"/>
    </row>
    <row r="26" spans="1:4" ht="15.75" customHeight="1">
      <c r="A26" s="449" t="s">
        <v>881</v>
      </c>
      <c r="B26" s="449" t="s">
        <v>658</v>
      </c>
      <c r="C26" s="450"/>
      <c r="D26" s="451"/>
    </row>
    <row r="27" spans="1:4" ht="15.75" customHeight="1">
      <c r="A27" s="392" t="s">
        <v>882</v>
      </c>
      <c r="B27" s="392" t="s">
        <v>644</v>
      </c>
      <c r="C27" s="454"/>
      <c r="D27" s="455"/>
    </row>
    <row r="28" spans="1:4" ht="15.75" customHeight="1">
      <c r="A28" s="449" t="s">
        <v>883</v>
      </c>
      <c r="B28" s="449" t="s">
        <v>658</v>
      </c>
      <c r="C28" s="450"/>
      <c r="D28" s="451"/>
    </row>
    <row r="29" spans="1:4" ht="15.75" customHeight="1">
      <c r="A29" s="449" t="s">
        <v>884</v>
      </c>
      <c r="B29" s="449" t="s">
        <v>658</v>
      </c>
      <c r="C29" s="450"/>
      <c r="D29" s="451"/>
    </row>
    <row r="30" spans="1:4" ht="15.75" customHeight="1">
      <c r="A30" s="449" t="s">
        <v>885</v>
      </c>
      <c r="B30" s="449" t="s">
        <v>658</v>
      </c>
      <c r="C30" s="454"/>
      <c r="D30" s="455"/>
    </row>
    <row r="31" spans="1:4">
      <c r="A31" s="449" t="s">
        <v>886</v>
      </c>
      <c r="B31" s="449" t="s">
        <v>658</v>
      </c>
      <c r="C31" s="450"/>
      <c r="D31" s="451"/>
    </row>
    <row r="32" spans="1:4">
      <c r="A32" s="449" t="s">
        <v>887</v>
      </c>
      <c r="B32" s="449" t="s">
        <v>658</v>
      </c>
      <c r="C32" s="450"/>
      <c r="D32" s="456"/>
    </row>
    <row r="33" spans="1:4">
      <c r="A33" s="449" t="s">
        <v>888</v>
      </c>
      <c r="B33" s="449" t="s">
        <v>658</v>
      </c>
      <c r="C33" s="450"/>
      <c r="D33" s="456"/>
    </row>
    <row r="34" spans="1:4">
      <c r="A34" s="449" t="s">
        <v>889</v>
      </c>
      <c r="B34" s="449" t="s">
        <v>658</v>
      </c>
      <c r="C34" s="450"/>
      <c r="D34" s="451"/>
    </row>
    <row r="35" spans="1:4">
      <c r="A35" s="392" t="s">
        <v>890</v>
      </c>
      <c r="B35" s="392" t="s">
        <v>644</v>
      </c>
      <c r="C35" s="454"/>
      <c r="D35" s="455"/>
    </row>
    <row r="36" spans="1:4">
      <c r="A36" s="392" t="s">
        <v>891</v>
      </c>
      <c r="B36" s="392" t="s">
        <v>644</v>
      </c>
      <c r="C36" s="454"/>
      <c r="D36" s="455" t="s">
        <v>892</v>
      </c>
    </row>
    <row r="37" spans="1:4">
      <c r="A37" s="392" t="s">
        <v>893</v>
      </c>
      <c r="B37" s="392" t="s">
        <v>644</v>
      </c>
      <c r="C37" s="454"/>
      <c r="D37" s="455"/>
    </row>
    <row r="38" spans="1:4">
      <c r="A38" s="392" t="s">
        <v>894</v>
      </c>
      <c r="B38" s="392" t="s">
        <v>644</v>
      </c>
      <c r="C38" s="454"/>
      <c r="D38" s="455" t="s">
        <v>895</v>
      </c>
    </row>
    <row r="39" spans="1:4">
      <c r="A39" s="449" t="s">
        <v>896</v>
      </c>
      <c r="B39" s="449" t="s">
        <v>658</v>
      </c>
      <c r="C39" s="450"/>
      <c r="D39" s="451"/>
    </row>
    <row r="40" spans="1:4">
      <c r="A40" s="449" t="s">
        <v>897</v>
      </c>
      <c r="B40" s="449" t="s">
        <v>658</v>
      </c>
      <c r="C40" s="450"/>
      <c r="D40" s="451"/>
    </row>
    <row r="41" spans="1:4">
      <c r="A41" s="449" t="s">
        <v>898</v>
      </c>
      <c r="B41" s="449" t="s">
        <v>658</v>
      </c>
      <c r="C41" s="450"/>
      <c r="D41" s="451"/>
    </row>
    <row r="42" spans="1:4">
      <c r="A42" s="449" t="s">
        <v>899</v>
      </c>
      <c r="B42" s="449" t="s">
        <v>658</v>
      </c>
      <c r="C42" s="450"/>
      <c r="D42" s="451"/>
    </row>
    <row r="43" spans="1:4">
      <c r="A43" s="449" t="s">
        <v>900</v>
      </c>
      <c r="B43" s="449" t="s">
        <v>658</v>
      </c>
      <c r="C43" s="450"/>
      <c r="D43" s="451" t="s">
        <v>901</v>
      </c>
    </row>
    <row r="44" spans="1:4">
      <c r="A44" s="449" t="s">
        <v>902</v>
      </c>
      <c r="B44" s="449" t="s">
        <v>658</v>
      </c>
      <c r="C44" s="450"/>
      <c r="D44" s="451" t="s">
        <v>901</v>
      </c>
    </row>
    <row r="45" spans="1:4">
      <c r="A45" s="449" t="s">
        <v>903</v>
      </c>
      <c r="B45" s="449" t="s">
        <v>658</v>
      </c>
      <c r="C45" s="450"/>
      <c r="D45" s="451" t="s">
        <v>901</v>
      </c>
    </row>
    <row r="46" spans="1:4">
      <c r="A46" s="449" t="s">
        <v>904</v>
      </c>
      <c r="B46" s="449" t="s">
        <v>658</v>
      </c>
      <c r="C46" s="450"/>
      <c r="D46" s="451" t="s">
        <v>901</v>
      </c>
    </row>
    <row r="47" spans="1:4">
      <c r="A47" s="449" t="s">
        <v>905</v>
      </c>
      <c r="B47" s="449" t="s">
        <v>658</v>
      </c>
      <c r="C47" s="450"/>
      <c r="D47" s="451" t="s">
        <v>901</v>
      </c>
    </row>
    <row r="48" spans="1:4">
      <c r="A48" s="449" t="s">
        <v>906</v>
      </c>
      <c r="B48" s="449" t="s">
        <v>658</v>
      </c>
      <c r="C48" s="450"/>
      <c r="D48" s="451" t="s">
        <v>901</v>
      </c>
    </row>
    <row r="49" spans="1:4">
      <c r="A49" s="449" t="s">
        <v>907</v>
      </c>
      <c r="B49" s="449" t="s">
        <v>658</v>
      </c>
      <c r="C49" s="450"/>
      <c r="D49" s="451" t="s">
        <v>901</v>
      </c>
    </row>
    <row r="50" spans="1:4">
      <c r="A50" s="449" t="s">
        <v>908</v>
      </c>
      <c r="B50" s="449" t="s">
        <v>658</v>
      </c>
      <c r="C50" s="450"/>
      <c r="D50" s="451"/>
    </row>
    <row r="51" spans="1:4">
      <c r="A51" s="449" t="s">
        <v>909</v>
      </c>
      <c r="B51" s="449" t="s">
        <v>658</v>
      </c>
      <c r="C51" s="450"/>
      <c r="D51" s="449"/>
    </row>
    <row r="52" spans="1:4">
      <c r="A52" s="392" t="s">
        <v>910</v>
      </c>
      <c r="B52" s="392" t="s">
        <v>644</v>
      </c>
      <c r="C52" s="454"/>
      <c r="D52" s="455"/>
    </row>
    <row r="53" spans="1:4">
      <c r="A53" s="449" t="s">
        <v>911</v>
      </c>
      <c r="B53" s="449" t="s">
        <v>658</v>
      </c>
      <c r="C53" s="450"/>
      <c r="D53" s="451"/>
    </row>
    <row r="54" spans="1:4">
      <c r="A54" s="457" t="s">
        <v>912</v>
      </c>
      <c r="B54" s="392" t="s">
        <v>644</v>
      </c>
      <c r="C54" s="454"/>
      <c r="D54" s="458" t="s">
        <v>913</v>
      </c>
    </row>
    <row r="55" spans="1:4">
      <c r="A55" s="409" t="s">
        <v>914</v>
      </c>
      <c r="B55" s="392" t="s">
        <v>644</v>
      </c>
      <c r="C55" s="454"/>
      <c r="D55" s="455"/>
    </row>
    <row r="56" spans="1:4">
      <c r="A56" s="459" t="s">
        <v>915</v>
      </c>
      <c r="B56" s="460" t="s">
        <v>658</v>
      </c>
      <c r="C56" s="461"/>
      <c r="D56" s="462"/>
    </row>
    <row r="57" spans="1:4" ht="30">
      <c r="A57" s="409" t="s">
        <v>916</v>
      </c>
      <c r="B57" s="392" t="s">
        <v>644</v>
      </c>
      <c r="C57" s="454"/>
      <c r="D57" s="409"/>
    </row>
    <row r="58" spans="1:4">
      <c r="A58" s="463" t="s">
        <v>917</v>
      </c>
      <c r="B58" s="464" t="s">
        <v>644</v>
      </c>
      <c r="C58" s="461"/>
      <c r="D58" s="458" t="s">
        <v>913</v>
      </c>
    </row>
    <row r="59" spans="1:4">
      <c r="A59" s="392"/>
      <c r="B59" s="392"/>
      <c r="C59" s="392"/>
      <c r="D59" s="458"/>
    </row>
  </sheetData>
  <mergeCells count="1">
    <mergeCell ref="H10:R12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2F0D9"/>
  </sheetPr>
  <dimension ref="A1:D21"/>
  <sheetViews>
    <sheetView tabSelected="1" zoomScale="90" zoomScaleNormal="90" workbookViewId="0">
      <selection activeCell="E33" sqref="E33"/>
    </sheetView>
  </sheetViews>
  <sheetFormatPr defaultColWidth="72.85546875" defaultRowHeight="15"/>
  <cols>
    <col min="1" max="1" width="25.7109375" customWidth="1"/>
    <col min="2" max="2" width="41.28515625" customWidth="1"/>
    <col min="3" max="3" width="20.5703125" customWidth="1"/>
    <col min="4" max="4" width="92.140625" customWidth="1"/>
    <col min="5" max="5" width="48.85546875" customWidth="1"/>
    <col min="6" max="6" width="46.140625" customWidth="1"/>
  </cols>
  <sheetData>
    <row r="1" spans="1:4">
      <c r="A1" s="465" t="s">
        <v>683</v>
      </c>
      <c r="B1" s="465" t="s">
        <v>918</v>
      </c>
      <c r="C1" s="465" t="s">
        <v>687</v>
      </c>
      <c r="D1" s="465" t="s">
        <v>685</v>
      </c>
    </row>
    <row r="2" spans="1:4" ht="15" customHeight="1">
      <c r="A2" s="635" t="s">
        <v>859</v>
      </c>
      <c r="B2" s="466" t="s">
        <v>919</v>
      </c>
      <c r="C2" s="467"/>
      <c r="D2" s="468" t="s">
        <v>920</v>
      </c>
    </row>
    <row r="3" spans="1:4" ht="15" customHeight="1">
      <c r="A3" s="635"/>
      <c r="B3" s="469" t="s">
        <v>706</v>
      </c>
      <c r="C3" s="467"/>
      <c r="D3" s="468" t="s">
        <v>921</v>
      </c>
    </row>
    <row r="4" spans="1:4" ht="30">
      <c r="A4" s="470" t="s">
        <v>865</v>
      </c>
      <c r="B4" s="471" t="s">
        <v>922</v>
      </c>
      <c r="C4" s="472"/>
      <c r="D4" s="473" t="s">
        <v>923</v>
      </c>
    </row>
    <row r="5" spans="1:4" ht="15" customHeight="1">
      <c r="A5" s="636" t="s">
        <v>866</v>
      </c>
      <c r="B5" s="471" t="s">
        <v>751</v>
      </c>
      <c r="C5" s="472"/>
      <c r="D5" s="473" t="s">
        <v>924</v>
      </c>
    </row>
    <row r="6" spans="1:4" ht="15" customHeight="1">
      <c r="A6" s="636"/>
      <c r="B6" s="466" t="s">
        <v>706</v>
      </c>
      <c r="C6" s="467"/>
      <c r="D6" s="468" t="s">
        <v>925</v>
      </c>
    </row>
    <row r="7" spans="1:4" ht="30">
      <c r="A7" s="470" t="s">
        <v>867</v>
      </c>
      <c r="B7" s="474" t="s">
        <v>926</v>
      </c>
      <c r="C7" s="475"/>
      <c r="D7" s="476" t="s">
        <v>927</v>
      </c>
    </row>
    <row r="8" spans="1:4" ht="15" customHeight="1">
      <c r="A8" s="636" t="s">
        <v>869</v>
      </c>
      <c r="B8" s="474" t="s">
        <v>928</v>
      </c>
      <c r="C8" s="477"/>
      <c r="D8" s="476" t="s">
        <v>929</v>
      </c>
    </row>
    <row r="9" spans="1:4" ht="15" customHeight="1">
      <c r="A9" s="636"/>
      <c r="B9" s="471" t="s">
        <v>711</v>
      </c>
      <c r="C9" s="472"/>
      <c r="D9" s="473" t="s">
        <v>930</v>
      </c>
    </row>
    <row r="10" spans="1:4" ht="30">
      <c r="A10" s="470" t="s">
        <v>875</v>
      </c>
      <c r="B10" s="471" t="s">
        <v>737</v>
      </c>
      <c r="C10" s="472"/>
      <c r="D10" s="473" t="s">
        <v>931</v>
      </c>
    </row>
    <row r="11" spans="1:4" ht="30">
      <c r="A11" s="470" t="s">
        <v>880</v>
      </c>
      <c r="B11" s="471" t="s">
        <v>722</v>
      </c>
      <c r="C11" s="472"/>
      <c r="D11" s="473" t="s">
        <v>932</v>
      </c>
    </row>
    <row r="12" spans="1:4">
      <c r="A12" s="478" t="s">
        <v>881</v>
      </c>
      <c r="B12" s="471" t="s">
        <v>933</v>
      </c>
      <c r="C12" s="472"/>
      <c r="D12" s="473"/>
    </row>
    <row r="13" spans="1:4" ht="15" customHeight="1">
      <c r="A13" s="636" t="s">
        <v>884</v>
      </c>
      <c r="B13" s="466" t="s">
        <v>934</v>
      </c>
      <c r="C13" s="472"/>
      <c r="D13" s="468" t="s">
        <v>935</v>
      </c>
    </row>
    <row r="14" spans="1:4" ht="15" customHeight="1">
      <c r="A14" s="636"/>
      <c r="B14" s="471" t="s">
        <v>936</v>
      </c>
      <c r="C14" s="472"/>
      <c r="D14" s="473" t="s">
        <v>937</v>
      </c>
    </row>
    <row r="15" spans="1:4" ht="30">
      <c r="A15" s="470" t="s">
        <v>886</v>
      </c>
      <c r="B15" s="471" t="s">
        <v>778</v>
      </c>
      <c r="C15" s="472"/>
      <c r="D15" s="473" t="s">
        <v>938</v>
      </c>
    </row>
    <row r="16" spans="1:4" ht="15" customHeight="1">
      <c r="A16" s="636" t="s">
        <v>893</v>
      </c>
      <c r="B16" s="471" t="s">
        <v>939</v>
      </c>
      <c r="C16" s="472"/>
      <c r="D16" s="473" t="s">
        <v>940</v>
      </c>
    </row>
    <row r="17" spans="1:4" ht="15" customHeight="1">
      <c r="A17" s="636"/>
      <c r="B17" s="466" t="s">
        <v>941</v>
      </c>
      <c r="C17" s="472"/>
      <c r="D17" s="468" t="s">
        <v>942</v>
      </c>
    </row>
    <row r="18" spans="1:4" ht="15" customHeight="1">
      <c r="A18" s="635" t="s">
        <v>899</v>
      </c>
      <c r="B18" s="471" t="s">
        <v>770</v>
      </c>
      <c r="C18" s="472"/>
      <c r="D18" s="473" t="s">
        <v>943</v>
      </c>
    </row>
    <row r="19" spans="1:4" ht="15" customHeight="1">
      <c r="A19" s="635"/>
      <c r="B19" s="471" t="s">
        <v>944</v>
      </c>
      <c r="C19" s="472"/>
      <c r="D19" s="473" t="s">
        <v>945</v>
      </c>
    </row>
    <row r="20" spans="1:4" ht="30">
      <c r="A20" s="470" t="s">
        <v>908</v>
      </c>
      <c r="B20" s="471" t="s">
        <v>946</v>
      </c>
      <c r="C20" s="472"/>
      <c r="D20" s="473" t="s">
        <v>947</v>
      </c>
    </row>
    <row r="21" spans="1:4" ht="45">
      <c r="A21" s="470" t="s">
        <v>890</v>
      </c>
      <c r="B21" s="471" t="s">
        <v>948</v>
      </c>
      <c r="C21" s="472"/>
      <c r="D21" s="473" t="s">
        <v>949</v>
      </c>
    </row>
  </sheetData>
  <mergeCells count="6">
    <mergeCell ref="A18:A19"/>
    <mergeCell ref="A2:A3"/>
    <mergeCell ref="A5:A6"/>
    <mergeCell ref="A8:A9"/>
    <mergeCell ref="A13:A14"/>
    <mergeCell ref="A16:A17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F6BAE239A1724EA3FB96567194DFC0" ma:contentTypeVersion="17" ma:contentTypeDescription="Crie um novo documento." ma:contentTypeScope="" ma:versionID="c5cc883ba7f0a3696cebbcaf633b3a61">
  <xsd:schema xmlns:xsd="http://www.w3.org/2001/XMLSchema" xmlns:xs="http://www.w3.org/2001/XMLSchema" xmlns:p="http://schemas.microsoft.com/office/2006/metadata/properties" xmlns:ns2="b7036cec-c131-4aff-a5e9-cfbce983d907" xmlns:ns3="a590097f-507d-4e6b-8b99-a4943b757c72" targetNamespace="http://schemas.microsoft.com/office/2006/metadata/properties" ma:root="true" ma:fieldsID="d698e0445ee5cf017d471a9fbbb1dcc4" ns2:_="" ns3:_="">
    <xsd:import namespace="b7036cec-c131-4aff-a5e9-cfbce983d907"/>
    <xsd:import namespace="a590097f-507d-4e6b-8b99-a4943b757c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36cec-c131-4aff-a5e9-cfbce983d9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0c8a2104-a9da-411f-8564-ba4fcebd3e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nk" ma:index="24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0097f-507d-4e6b-8b99-a4943b757c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036cec-c131-4aff-a5e9-cfbce983d907">
      <Terms xmlns="http://schemas.microsoft.com/office/infopath/2007/PartnerControls"/>
    </lcf76f155ced4ddcb4097134ff3c332f>
    <Link xmlns="b7036cec-c131-4aff-a5e9-cfbce983d907">
      <Url xsi:nil="true"/>
      <Description xsi:nil="true"/>
    </Link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1F4799-5278-4909-9D19-9EB8300171D1}"/>
</file>

<file path=customXml/itemProps2.xml><?xml version="1.0" encoding="utf-8"?>
<ds:datastoreItem xmlns:ds="http://schemas.openxmlformats.org/officeDocument/2006/customXml" ds:itemID="{3CA2D136-8F75-4F74-96FF-6EE038466D80}"/>
</file>

<file path=customXml/itemProps3.xml><?xml version="1.0" encoding="utf-8"?>
<ds:datastoreItem xmlns:ds="http://schemas.openxmlformats.org/officeDocument/2006/customXml" ds:itemID="{BEB97AD3-A8F7-48C4-A1EE-E1F352CD92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Pertile</dc:creator>
  <cp:keywords/>
  <dc:description/>
  <cp:lastModifiedBy>Higor Rocha</cp:lastModifiedBy>
  <cp:revision>2</cp:revision>
  <dcterms:created xsi:type="dcterms:W3CDTF">2021-10-19T16:58:19Z</dcterms:created>
  <dcterms:modified xsi:type="dcterms:W3CDTF">2026-06-24T12:45:08Z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0x010100A0F6BAE239A1724EA3FB96567194DFC0</vt:lpwstr>
  </property>
  <property fmtid="{D5CDD505-2E9C-101B-9397-08002B2CF9AE}" pid="3" name="MediaServiceImageTags">
    <vt:lpwstr/>
  </property>
</Properties>
</file>